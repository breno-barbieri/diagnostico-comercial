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renosantosbarbieri/Desktop/Breno Barbieri/Consultoria /Ferramentas/"/>
    </mc:Choice>
  </mc:AlternateContent>
  <xr:revisionPtr revIDLastSave="0" documentId="13_ncr:1_{C513EF0C-1A2F-1F4B-9040-D4DA50BC9BAC}" xr6:coauthVersionLast="47" xr6:coauthVersionMax="47" xr10:uidLastSave="{00000000-0000-0000-0000-000000000000}"/>
  <bookViews>
    <workbookView xWindow="0" yWindow="0" windowWidth="68800" windowHeight="28800" tabRatio="500" activeTab="1" xr2:uid="{00000000-000D-0000-FFFF-FFFF00000000}"/>
  </bookViews>
  <sheets>
    <sheet name="Como usar" sheetId="1" r:id="rId1"/>
    <sheet name="Calculadora" sheetId="2" r:id="rId2"/>
    <sheet name="Cenári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2" l="1"/>
  <c r="C26" i="2"/>
  <c r="D25" i="2"/>
  <c r="C25" i="2"/>
  <c r="B18" i="2"/>
  <c r="C15" i="2"/>
  <c r="C10" i="2"/>
  <c r="C9" i="2"/>
  <c r="C11" i="2" s="1"/>
  <c r="C17" i="2" l="1"/>
  <c r="C16" i="2"/>
  <c r="F12" i="3"/>
  <c r="C36" i="2"/>
  <c r="C11" i="3"/>
  <c r="D11" i="3"/>
  <c r="B42" i="2"/>
  <c r="F8" i="3"/>
  <c r="F10" i="3"/>
  <c r="C7" i="3"/>
  <c r="C9" i="3"/>
  <c r="D7" i="3"/>
  <c r="D9" i="3"/>
  <c r="E7" i="3"/>
  <c r="E9" i="3"/>
  <c r="E11" i="3"/>
  <c r="F11" i="3"/>
  <c r="C12" i="3"/>
  <c r="C37" i="2"/>
  <c r="F7" i="3"/>
  <c r="F9" i="3"/>
  <c r="C8" i="3"/>
  <c r="C10" i="3"/>
  <c r="D8" i="3"/>
  <c r="D10" i="3"/>
  <c r="D12" i="3"/>
  <c r="E12" i="3"/>
  <c r="E10" i="3" l="1"/>
  <c r="E8" i="3"/>
  <c r="C35" i="2"/>
  <c r="C38" i="2" s="1"/>
  <c r="C39" i="2" l="1"/>
  <c r="C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100-000001000000}">
      <text>
        <r>
          <rPr>
            <sz val="10"/>
            <rFont val="Arial"/>
            <family val="2"/>
          </rPr>
          <t>Valor de exemplo definido pelo usuário. Não é benchmark de mercado.</t>
        </r>
      </text>
    </comment>
  </commentList>
</comments>
</file>

<file path=xl/sharedStrings.xml><?xml version="1.0" encoding="utf-8"?>
<sst xmlns="http://schemas.openxmlformats.org/spreadsheetml/2006/main" count="80" uniqueCount="77">
  <si>
    <t>BRENO BARBIERI · INTELIGÊNCIA COMERCIAL</t>
  </si>
  <si>
    <t>Calculadora de O.T.E</t>
  </si>
  <si>
    <t>Fixo, variável e bônus de operação, com os limites que impedem o modelo de virar incentivo ao preenchimento.</t>
  </si>
  <si>
    <t>O QUE É O.T.E</t>
  </si>
  <si>
    <t>A REGRA DE DESENHO</t>
  </si>
  <si>
    <t>Usar o CRM corretamente é padrão básico da operação, não feito extraordinário. O bônus de operação existe para acelerar a virada cultural, não para pagar por preenchimento.</t>
  </si>
  <si>
    <t>OS QUATRO GUARDA-CORPOS</t>
  </si>
  <si>
    <t>01 · Teto no bônus de operação</t>
  </si>
  <si>
    <t>Máximo de 25% do variável. Acima disso, o vendedor passa a otimizar o sistema em vez do resultado, e a empresa paga por comportamento, não por receita. A calculadora avisa quando o limite é ultrapassado.</t>
  </si>
  <si>
    <t>02 · Gatilho mínimo de receita</t>
  </si>
  <si>
    <t>Abaixo de um atingimento mínimo (sugestão: 70%), o bônus de operação não é pago. Sem esse gatilho existe um caminho para ganhar dinheiro sem vender, e o modelo perde legitimidade diante do time que vende.</t>
  </si>
  <si>
    <t>03 · Critérios de qualidade, nunca de volume</t>
  </si>
  <si>
    <t>Os três critérios pré-modelados medem qualidade de pipeline: evidência na passagem de etapa, cumprimento de SLA e acurácia de forecast. Nenhum deles melhora ao se preencher mais campo. Trocar por 'campos preenchidos' ou 'atividades registradas' quebra o modelo.</t>
  </si>
  <si>
    <t>04 · Nada é medido no olho</t>
  </si>
  <si>
    <t>Cada critério precisa sair de um relatório que o vendedor consegue consultar sozinho, a qualquer momento. Critério que só a liderança enxerga vira sensação de arbitrariedade, e destrói a confiança que o bônus deveria construir.</t>
  </si>
  <si>
    <t>LEGENDA</t>
  </si>
  <si>
    <t>Azul sobre amarelo</t>
  </si>
  <si>
    <t>Premissa que você define.</t>
  </si>
  <si>
    <t>Preto sobre cinza</t>
  </si>
  <si>
    <t>Calculado. Não edite.</t>
  </si>
  <si>
    <t>Todos os valores da aba Calculadora são exemplos de partida, não recomendação de remuneração. Calibre com o seu ticket, ciclo de venda e mercado.</t>
  </si>
  <si>
    <t>Breno Barbieri · Inteligência Comercial · octanesales.com.br</t>
  </si>
  <si>
    <t>REMUNERAÇÃO VARIÁVEL</t>
  </si>
  <si>
    <t>Preencha apenas as células amarelas.</t>
  </si>
  <si>
    <t>01 · ESTRUTURA DO PACOTE</t>
  </si>
  <si>
    <t>O.T.E mensal (100% da meta)</t>
  </si>
  <si>
    <t>O que o vendedor leva no mês em que bate exatamente a meta.</t>
  </si>
  <si>
    <t>Participação do fixo</t>
  </si>
  <si>
    <t>Ciclo de venda longo e ticket alto pedem fixo maior; venda transacional suporta variável maior.</t>
  </si>
  <si>
    <t>Participação do variável</t>
  </si>
  <si>
    <t>Calculado a partir do fixo.</t>
  </si>
  <si>
    <t>Salário fixo mensal</t>
  </si>
  <si>
    <t>Variável no alvo</t>
  </si>
  <si>
    <t>02 · COMPOSIÇÃO DO VARIÁVEL</t>
  </si>
  <si>
    <t>Parcela ligada a receita</t>
  </si>
  <si>
    <t>O peso principal. Vendedor é pago por vender.</t>
  </si>
  <si>
    <t>Parcela ligada a operação (bônus CRM)</t>
  </si>
  <si>
    <t>Teto recomendado: 25%.</t>
  </si>
  <si>
    <t>Comissão de receita no alvo</t>
  </si>
  <si>
    <t>Bônus de operação no alvo</t>
  </si>
  <si>
    <t>03 · CRITÉRIOS DE QUALIDADE DO BÔNUS DE OPERAÇÃO</t>
  </si>
  <si>
    <t>Critério</t>
  </si>
  <si>
    <t>Peso</t>
  </si>
  <si>
    <t>Realizado</t>
  </si>
  <si>
    <t>Como medir</t>
  </si>
  <si>
    <t>Higiene do gatilho de passagem</t>
  </si>
  <si>
    <t>% dos avanços de etapa no período com a evidência exigida registrada.</t>
  </si>
  <si>
    <t>Cumprimento do SLA de primeira resposta</t>
  </si>
  <si>
    <t>% dos leads atendidos dentro do tempo máximo definido por canal.</t>
  </si>
  <si>
    <t>Acurácia de forecast</t>
  </si>
  <si>
    <t>1 menos o desvio entre o previsto no início do mês e o realizado.</t>
  </si>
  <si>
    <t>Soma dos pesos</t>
  </si>
  <si>
    <t>Índice de qualidade do período</t>
  </si>
  <si>
    <t>Média dos critérios ponderada pelos pesos.</t>
  </si>
  <si>
    <t>04 · RESULTADO DO MÊS</t>
  </si>
  <si>
    <t>Meta de receita do vendedor</t>
  </si>
  <si>
    <t>Receita realizada</t>
  </si>
  <si>
    <t>Atingimento de receita</t>
  </si>
  <si>
    <t>Gatilho mínimo para liberar o bônus de operação</t>
  </si>
  <si>
    <t>Abaixo deste atingimento, o bônus de operação não é pago. Sem gatilho, existe caminho para ganhar sem vender.</t>
  </si>
  <si>
    <t>Teto de pagamento da comissão de receita</t>
  </si>
  <si>
    <t>Limite de aceleração. 1,5x significa que o atingimento é considerado até 150%.</t>
  </si>
  <si>
    <t>Comissão de receita paga</t>
  </si>
  <si>
    <t>Bônus de operação pago</t>
  </si>
  <si>
    <t>Zerado enquanto o atingimento de receita estiver abaixo do gatilho.</t>
  </si>
  <si>
    <t>Fixo</t>
  </si>
  <si>
    <t>Remuneração total do mês</t>
  </si>
  <si>
    <t>% do O.T.E</t>
  </si>
  <si>
    <t>Custo de venda (remuneração / receita realizada)</t>
  </si>
  <si>
    <t>Se este número sobe quando a receita sobe, o plano está mal desenhado.</t>
  </si>
  <si>
    <t>Valores de partida são exemplos. Nenhum número aqui é recomendação de remuneração. Calibre com o seu ticket, ciclo e mercado.</t>
  </si>
  <si>
    <t>SENSIBILIDADE</t>
  </si>
  <si>
    <t>Quanto o vendedor leva em cada cenário</t>
  </si>
  <si>
    <t>Remuneração total do mês. Linhas: atingimento de receita. Colunas: índice de qualidade do período.</t>
  </si>
  <si>
    <t>Qualidade</t>
  </si>
  <si>
    <t>Leia a coluna de qualidade 0%: é o que o vendedor leva se vender e ignorar o processo. A distância entre essa coluna e a de 100% é o tamanho real do incentivo que você está oferecendo. Se for pequena demais, ninguém muda comportamento; se for grande demais, o time otimiza o sistema em vez da venda.</t>
  </si>
  <si>
    <t>On-Target Earnings: é a remuneração total esperada quando o profissional atinge exatamente 100% da meta. Corresponde à soma do salário fixo com a remuneração variável prevista para esse nível de desempenho. É a principal referência para definir e comunicar um plano de remuneração variável.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</si>
</sst>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"/>
    <numFmt numFmtId="165" formatCode="0.0%"/>
    <numFmt numFmtId="166" formatCode="0.0\x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8"/>
      <color rgb="FFA07C4B"/>
      <name val="Arial"/>
      <family val="2"/>
    </font>
    <font>
      <sz val="18"/>
      <color rgb="FF0E0E10"/>
      <name val="Arial"/>
      <family val="2"/>
    </font>
    <font>
      <sz val="11"/>
      <color rgb="FF2B2B2B"/>
      <name val="Arial"/>
      <family val="2"/>
    </font>
    <font>
      <sz val="10"/>
      <color rgb="FF2B2B2B"/>
      <name val="Arial"/>
      <family val="2"/>
    </font>
    <font>
      <b/>
      <sz val="10"/>
      <color rgb="FF0E0E10"/>
      <name val="Arial"/>
      <family val="2"/>
    </font>
    <font>
      <b/>
      <sz val="10"/>
      <color rgb="FF0000FF"/>
      <name val="Arial"/>
      <family val="2"/>
    </font>
    <font>
      <i/>
      <sz val="9"/>
      <color rgb="FF2B2B2B"/>
      <name val="Arial"/>
      <family val="2"/>
    </font>
    <font>
      <sz val="8"/>
      <color rgb="FF2B2B2B"/>
      <name val="Arial"/>
      <family val="2"/>
    </font>
    <font>
      <sz val="10"/>
      <color rgb="FF0E0E10"/>
      <name val="Arial"/>
      <family val="2"/>
    </font>
    <font>
      <b/>
      <sz val="11"/>
      <color rgb="FF0000FF"/>
      <name val="Arial"/>
      <family val="2"/>
    </font>
    <font>
      <sz val="9"/>
      <color rgb="FF2B2B2B"/>
      <name val="Arial"/>
      <family val="2"/>
    </font>
    <font>
      <b/>
      <sz val="11"/>
      <color rgb="FF0E0E10"/>
      <name val="Arial"/>
      <family val="2"/>
    </font>
    <font>
      <b/>
      <sz val="10"/>
      <color rgb="FFA07C4B"/>
      <name val="Arial"/>
      <family val="2"/>
    </font>
    <font>
      <b/>
      <sz val="9"/>
      <color rgb="FFF2F0EC"/>
      <name val="Arial"/>
      <family val="2"/>
    </font>
    <font>
      <b/>
      <sz val="9"/>
      <color rgb="FFA07C4B"/>
      <name val="Arial"/>
      <family val="2"/>
    </font>
    <font>
      <b/>
      <sz val="13"/>
      <color rgb="FF0E0E1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0EC"/>
      </patternFill>
    </fill>
    <fill>
      <patternFill patternType="solid">
        <fgColor rgb="FFEFEDE8"/>
        <bgColor rgb="FFF2F0EC"/>
      </patternFill>
    </fill>
    <fill>
      <patternFill patternType="solid">
        <fgColor rgb="FF0E0E10"/>
        <bgColor rgb="FF000000"/>
      </patternFill>
    </fill>
  </fills>
  <borders count="3">
    <border>
      <left/>
      <right/>
      <top/>
      <bottom/>
      <diagonal/>
    </border>
    <border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  <border>
      <left style="thin">
        <color rgb="FFD9D5CC"/>
      </left>
      <right style="thin">
        <color rgb="FFD9D5CC"/>
      </right>
      <top style="thin">
        <color rgb="FFD9D5CC"/>
      </top>
      <bottom style="double">
        <color rgb="FF0E0E1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/>
    <xf numFmtId="0" fontId="16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8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/>
    <xf numFmtId="0" fontId="5" fillId="0" borderId="0" xfId="0" applyFont="1"/>
    <xf numFmtId="0" fontId="6" fillId="3" borderId="1" xfId="0" applyFont="1" applyFill="1" applyBorder="1"/>
    <xf numFmtId="0" fontId="9" fillId="0" borderId="0" xfId="0" applyFont="1"/>
    <xf numFmtId="0" fontId="10" fillId="0" borderId="0" xfId="0" applyFont="1"/>
    <xf numFmtId="164" fontId="11" fillId="2" borderId="1" xfId="0" applyNumberFormat="1" applyFont="1" applyFill="1" applyBorder="1"/>
    <xf numFmtId="0" fontId="12" fillId="0" borderId="0" xfId="0" applyFont="1" applyAlignment="1">
      <alignment vertical="top" wrapText="1"/>
    </xf>
    <xf numFmtId="9" fontId="11" fillId="2" borderId="1" xfId="0" applyNumberFormat="1" applyFont="1" applyFill="1" applyBorder="1"/>
    <xf numFmtId="9" fontId="13" fillId="3" borderId="1" xfId="0" applyNumberFormat="1" applyFont="1" applyFill="1" applyBorder="1"/>
    <xf numFmtId="164" fontId="13" fillId="3" borderId="1" xfId="0" applyNumberFormat="1" applyFont="1" applyFill="1" applyBorder="1"/>
    <xf numFmtId="0" fontId="15" fillId="4" borderId="1" xfId="0" applyFont="1" applyFill="1" applyBorder="1"/>
    <xf numFmtId="0" fontId="10" fillId="0" borderId="1" xfId="0" applyFont="1" applyBorder="1"/>
    <xf numFmtId="0" fontId="12" fillId="0" borderId="1" xfId="0" applyFont="1" applyBorder="1" applyAlignment="1">
      <alignment vertical="top" wrapText="1"/>
    </xf>
    <xf numFmtId="0" fontId="6" fillId="0" borderId="1" xfId="0" applyFont="1" applyBorder="1"/>
    <xf numFmtId="165" fontId="13" fillId="3" borderId="1" xfId="0" applyNumberFormat="1" applyFont="1" applyFill="1" applyBorder="1"/>
    <xf numFmtId="166" fontId="11" fillId="2" borderId="1" xfId="0" applyNumberFormat="1" applyFont="1" applyFill="1" applyBorder="1"/>
    <xf numFmtId="0" fontId="6" fillId="0" borderId="0" xfId="0" applyFont="1"/>
    <xf numFmtId="164" fontId="17" fillId="2" borderId="2" xfId="0" applyNumberFormat="1" applyFont="1" applyFill="1" applyBorder="1"/>
    <xf numFmtId="9" fontId="15" fillId="4" borderId="1" xfId="0" applyNumberFormat="1" applyFont="1" applyFill="1" applyBorder="1"/>
    <xf numFmtId="9" fontId="6" fillId="3" borderId="1" xfId="0" applyNumberFormat="1" applyFont="1" applyFill="1" applyBorder="1"/>
    <xf numFmtId="164" fontId="10" fillId="0" borderId="1" xfId="0" applyNumberFormat="1" applyFont="1" applyBorder="1"/>
    <xf numFmtId="0" fontId="1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A07C4B"/>
      <rgbColor rgb="FF9999FF"/>
      <rgbColor rgb="FF993366"/>
      <rgbColor rgb="FFFFF2CC"/>
      <rgbColor rgb="FFEFEDE8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10"/>
      <rgbColor rgb="FF333300"/>
      <rgbColor rgb="FF993300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zoomScale="170" zoomScaleNormal="170" workbookViewId="0">
      <selection activeCell="B22" sqref="B22:C22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80" customWidth="1"/>
  </cols>
  <sheetData>
    <row r="2" spans="2:3" x14ac:dyDescent="0.2">
      <c r="B2" s="7" t="s">
        <v>0</v>
      </c>
    </row>
    <row r="3" spans="2:3" ht="23" x14ac:dyDescent="0.25">
      <c r="B3" s="8" t="s">
        <v>1</v>
      </c>
    </row>
    <row r="4" spans="2:3" x14ac:dyDescent="0.2">
      <c r="B4" s="6" t="s">
        <v>2</v>
      </c>
      <c r="C4" s="6"/>
    </row>
    <row r="6" spans="2:3" x14ac:dyDescent="0.2">
      <c r="B6" s="7" t="s">
        <v>3</v>
      </c>
    </row>
    <row r="7" spans="2:3" ht="43.5" customHeight="1" x14ac:dyDescent="0.2">
      <c r="B7" s="5" t="s">
        <v>76</v>
      </c>
      <c r="C7" s="5"/>
    </row>
    <row r="9" spans="2:3" x14ac:dyDescent="0.2">
      <c r="B9" s="7" t="s">
        <v>4</v>
      </c>
    </row>
    <row r="10" spans="2:3" ht="31.5" customHeight="1" x14ac:dyDescent="0.2">
      <c r="B10" s="32" t="s">
        <v>5</v>
      </c>
      <c r="C10" s="32"/>
    </row>
    <row r="12" spans="2:3" x14ac:dyDescent="0.2">
      <c r="B12" s="7" t="s">
        <v>6</v>
      </c>
    </row>
    <row r="13" spans="2:3" ht="48" customHeight="1" x14ac:dyDescent="0.2">
      <c r="B13" s="10" t="s">
        <v>7</v>
      </c>
      <c r="C13" s="9" t="s">
        <v>8</v>
      </c>
    </row>
    <row r="14" spans="2:3" ht="48" customHeight="1" x14ac:dyDescent="0.2">
      <c r="B14" s="10" t="s">
        <v>9</v>
      </c>
      <c r="C14" s="9" t="s">
        <v>10</v>
      </c>
    </row>
    <row r="15" spans="2:3" ht="48" customHeight="1" x14ac:dyDescent="0.2">
      <c r="B15" s="10" t="s">
        <v>11</v>
      </c>
      <c r="C15" s="9" t="s">
        <v>12</v>
      </c>
    </row>
    <row r="16" spans="2:3" ht="48" customHeight="1" x14ac:dyDescent="0.2">
      <c r="B16" s="10" t="s">
        <v>13</v>
      </c>
      <c r="C16" s="9" t="s">
        <v>14</v>
      </c>
    </row>
    <row r="18" spans="2:3" x14ac:dyDescent="0.2">
      <c r="B18" s="7" t="s">
        <v>15</v>
      </c>
    </row>
    <row r="19" spans="2:3" x14ac:dyDescent="0.2">
      <c r="B19" s="11" t="s">
        <v>16</v>
      </c>
      <c r="C19" s="12" t="s">
        <v>17</v>
      </c>
    </row>
    <row r="20" spans="2:3" x14ac:dyDescent="0.2">
      <c r="B20" s="13" t="s">
        <v>18</v>
      </c>
      <c r="C20" s="12" t="s">
        <v>19</v>
      </c>
    </row>
    <row r="22" spans="2:3" x14ac:dyDescent="0.2">
      <c r="B22" s="4" t="s">
        <v>20</v>
      </c>
      <c r="C22" s="4"/>
    </row>
    <row r="24" spans="2:3" x14ac:dyDescent="0.2">
      <c r="B24" s="14" t="s">
        <v>21</v>
      </c>
    </row>
  </sheetData>
  <mergeCells count="4">
    <mergeCell ref="B4:C4"/>
    <mergeCell ref="B7:C7"/>
    <mergeCell ref="B10:C10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4"/>
  <sheetViews>
    <sheetView showGridLines="0" tabSelected="1" zoomScaleNormal="100" workbookViewId="0">
      <selection activeCell="E15" sqref="E15"/>
    </sheetView>
  </sheetViews>
  <sheetFormatPr baseColWidth="10" defaultColWidth="8.6640625" defaultRowHeight="15" x14ac:dyDescent="0.2"/>
  <cols>
    <col min="1" max="1" width="3" customWidth="1"/>
    <col min="2" max="2" width="44" customWidth="1"/>
    <col min="3" max="4" width="16" customWidth="1"/>
    <col min="5" max="5" width="58" customWidth="1"/>
  </cols>
  <sheetData>
    <row r="2" spans="2:5" x14ac:dyDescent="0.2">
      <c r="B2" s="7" t="s">
        <v>22</v>
      </c>
    </row>
    <row r="3" spans="2:5" ht="23" x14ac:dyDescent="0.25">
      <c r="B3" s="8" t="s">
        <v>1</v>
      </c>
    </row>
    <row r="4" spans="2:5" x14ac:dyDescent="0.2">
      <c r="B4" s="12" t="s">
        <v>23</v>
      </c>
    </row>
    <row r="6" spans="2:5" x14ac:dyDescent="0.2">
      <c r="B6" s="7" t="s">
        <v>24</v>
      </c>
    </row>
    <row r="7" spans="2:5" x14ac:dyDescent="0.2">
      <c r="B7" s="15" t="s">
        <v>25</v>
      </c>
      <c r="C7" s="16">
        <v>10000</v>
      </c>
      <c r="E7" s="17" t="s">
        <v>26</v>
      </c>
    </row>
    <row r="8" spans="2:5" ht="26" x14ac:dyDescent="0.2">
      <c r="B8" s="15" t="s">
        <v>27</v>
      </c>
      <c r="C8" s="18">
        <v>0.5</v>
      </c>
      <c r="E8" s="17" t="s">
        <v>28</v>
      </c>
    </row>
    <row r="9" spans="2:5" x14ac:dyDescent="0.2">
      <c r="B9" s="15" t="s">
        <v>29</v>
      </c>
      <c r="C9" s="19">
        <f>1-C8</f>
        <v>0.5</v>
      </c>
      <c r="E9" s="17" t="s">
        <v>30</v>
      </c>
    </row>
    <row r="10" spans="2:5" x14ac:dyDescent="0.2">
      <c r="B10" s="15" t="s">
        <v>31</v>
      </c>
      <c r="C10" s="20">
        <f>C7*C8</f>
        <v>5000</v>
      </c>
    </row>
    <row r="11" spans="2:5" x14ac:dyDescent="0.2">
      <c r="B11" s="15" t="s">
        <v>32</v>
      </c>
      <c r="C11" s="20">
        <f>C7*C9</f>
        <v>5000</v>
      </c>
    </row>
    <row r="13" spans="2:5" x14ac:dyDescent="0.2">
      <c r="B13" s="7" t="s">
        <v>33</v>
      </c>
    </row>
    <row r="14" spans="2:5" x14ac:dyDescent="0.2">
      <c r="B14" s="15" t="s">
        <v>34</v>
      </c>
      <c r="C14" s="18">
        <v>0.8</v>
      </c>
      <c r="E14" s="17" t="s">
        <v>35</v>
      </c>
    </row>
    <row r="15" spans="2:5" x14ac:dyDescent="0.2">
      <c r="B15" s="15" t="s">
        <v>36</v>
      </c>
      <c r="C15" s="19">
        <f>1-C14</f>
        <v>0.19999999999999996</v>
      </c>
      <c r="E15" s="17" t="s">
        <v>37</v>
      </c>
    </row>
    <row r="16" spans="2:5" x14ac:dyDescent="0.2">
      <c r="B16" s="15" t="s">
        <v>38</v>
      </c>
      <c r="C16" s="20">
        <f>C11*C14</f>
        <v>4000</v>
      </c>
    </row>
    <row r="17" spans="2:5" x14ac:dyDescent="0.2">
      <c r="B17" s="15" t="s">
        <v>39</v>
      </c>
      <c r="C17" s="20">
        <f>C11*C15</f>
        <v>999.99999999999977</v>
      </c>
    </row>
    <row r="18" spans="2:5" ht="27.75" customHeight="1" x14ac:dyDescent="0.2">
      <c r="B18" s="3" t="str">
        <f>IF(C15&gt;0.25,"ALERTA · o bônus de operação está em "&amp;TEXT(C15,"0%")&amp;" do variável, acima do teto de 25%. Nessa faixa o vendedor passa a otimizar o sistema em vez do resultado.",IF(C15=0,"Sem bônus de operação. O modelo é 100% receita: legítimo, mas não acelera adoção.","Dentro do teto recomendado."))</f>
        <v>Dentro do teto recomendado.</v>
      </c>
      <c r="C18" s="3"/>
      <c r="D18" s="3"/>
      <c r="E18" s="3"/>
    </row>
    <row r="20" spans="2:5" x14ac:dyDescent="0.2">
      <c r="B20" s="7" t="s">
        <v>40</v>
      </c>
    </row>
    <row r="21" spans="2:5" x14ac:dyDescent="0.2">
      <c r="B21" s="21" t="s">
        <v>41</v>
      </c>
      <c r="C21" s="21" t="s">
        <v>42</v>
      </c>
      <c r="D21" s="21" t="s">
        <v>43</v>
      </c>
      <c r="E21" s="21" t="s">
        <v>44</v>
      </c>
    </row>
    <row r="22" spans="2:5" ht="25.5" customHeight="1" x14ac:dyDescent="0.2">
      <c r="B22" s="22" t="s">
        <v>45</v>
      </c>
      <c r="C22" s="18">
        <v>0.4</v>
      </c>
      <c r="D22" s="18">
        <v>0.85</v>
      </c>
      <c r="E22" s="23" t="s">
        <v>46</v>
      </c>
    </row>
    <row r="23" spans="2:5" ht="25.5" customHeight="1" x14ac:dyDescent="0.2">
      <c r="B23" s="22" t="s">
        <v>47</v>
      </c>
      <c r="C23" s="18">
        <v>0.3</v>
      </c>
      <c r="D23" s="18">
        <v>0.92</v>
      </c>
      <c r="E23" s="23" t="s">
        <v>48</v>
      </c>
    </row>
    <row r="24" spans="2:5" ht="25.5" customHeight="1" x14ac:dyDescent="0.2">
      <c r="B24" s="22" t="s">
        <v>49</v>
      </c>
      <c r="C24" s="18">
        <v>0.3</v>
      </c>
      <c r="D24" s="18">
        <v>0.7</v>
      </c>
      <c r="E24" s="23" t="s">
        <v>50</v>
      </c>
    </row>
    <row r="25" spans="2:5" x14ac:dyDescent="0.2">
      <c r="B25" s="24" t="s">
        <v>51</v>
      </c>
      <c r="C25" s="19">
        <f>SUM(C22:C24)</f>
        <v>1</v>
      </c>
      <c r="D25" s="2" t="str">
        <f>IF(ROUND(C25,4)&lt;&gt;1,"Os pesos precisam somar 100%.","")</f>
        <v/>
      </c>
      <c r="E25" s="2"/>
    </row>
    <row r="26" spans="2:5" x14ac:dyDescent="0.2">
      <c r="B26" s="15" t="s">
        <v>52</v>
      </c>
      <c r="C26" s="25">
        <f>IFERROR(SUMPRODUCT(C22:C24,D22:D24)/C25,0)</f>
        <v>0.82600000000000007</v>
      </c>
      <c r="E26" s="17" t="s">
        <v>53</v>
      </c>
    </row>
    <row r="28" spans="2:5" x14ac:dyDescent="0.2">
      <c r="B28" s="7" t="s">
        <v>54</v>
      </c>
    </row>
    <row r="29" spans="2:5" x14ac:dyDescent="0.2">
      <c r="B29" s="15" t="s">
        <v>55</v>
      </c>
      <c r="C29" s="16">
        <v>250000</v>
      </c>
    </row>
    <row r="30" spans="2:5" x14ac:dyDescent="0.2">
      <c r="B30" s="15" t="s">
        <v>56</v>
      </c>
      <c r="C30" s="16">
        <v>212000</v>
      </c>
    </row>
    <row r="31" spans="2:5" x14ac:dyDescent="0.2">
      <c r="B31" s="15" t="s">
        <v>57</v>
      </c>
      <c r="C31" s="25">
        <f>IFERROR(C30/C29,0)</f>
        <v>0.84799999999999998</v>
      </c>
    </row>
    <row r="32" spans="2:5" ht="26" x14ac:dyDescent="0.2">
      <c r="B32" s="15" t="s">
        <v>58</v>
      </c>
      <c r="C32" s="18">
        <v>0.7</v>
      </c>
      <c r="E32" s="17" t="s">
        <v>59</v>
      </c>
    </row>
    <row r="33" spans="2:5" x14ac:dyDescent="0.2">
      <c r="B33" s="15" t="s">
        <v>60</v>
      </c>
      <c r="C33" s="26">
        <v>1.5</v>
      </c>
      <c r="E33" s="17" t="s">
        <v>61</v>
      </c>
    </row>
    <row r="35" spans="2:5" x14ac:dyDescent="0.2">
      <c r="B35" s="15" t="s">
        <v>62</v>
      </c>
      <c r="C35" s="20">
        <f>C16*MIN(C31,C33)</f>
        <v>3392</v>
      </c>
    </row>
    <row r="36" spans="2:5" x14ac:dyDescent="0.2">
      <c r="B36" s="15" t="s">
        <v>63</v>
      </c>
      <c r="C36" s="20">
        <f>IF(C31&lt;C32,0,C17*C26)</f>
        <v>825.99999999999989</v>
      </c>
      <c r="E36" s="17" t="s">
        <v>64</v>
      </c>
    </row>
    <row r="37" spans="2:5" x14ac:dyDescent="0.2">
      <c r="B37" s="15" t="s">
        <v>65</v>
      </c>
      <c r="C37" s="20">
        <f>C10</f>
        <v>5000</v>
      </c>
    </row>
    <row r="38" spans="2:5" ht="17" x14ac:dyDescent="0.2">
      <c r="B38" s="27" t="s">
        <v>66</v>
      </c>
      <c r="C38" s="28">
        <f>C35+C36+C37</f>
        <v>9218</v>
      </c>
    </row>
    <row r="39" spans="2:5" x14ac:dyDescent="0.2">
      <c r="B39" s="15" t="s">
        <v>67</v>
      </c>
      <c r="C39" s="25">
        <f>IFERROR(C38/C7,0)</f>
        <v>0.92179999999999995</v>
      </c>
    </row>
    <row r="40" spans="2:5" x14ac:dyDescent="0.2">
      <c r="B40" s="15" t="s">
        <v>68</v>
      </c>
      <c r="C40" s="25">
        <f>IFERROR(C38/C30,0)</f>
        <v>4.3481132075471697E-2</v>
      </c>
      <c r="E40" s="17" t="s">
        <v>69</v>
      </c>
    </row>
    <row r="42" spans="2:5" ht="25.5" customHeight="1" x14ac:dyDescent="0.2">
      <c r="B42" s="3" t="str">
        <f>IF(ROUND(C8+C9,4)&lt;&gt;1,"ALERTA · fixo e variável precisam somar 100%.",IF(C32=0,"ALERTA · sem gatilho mínimo, o bônus de operação pode ser pago a quem não vendeu.",IF(C31&lt;C32,"O bônus de operação não é pago neste mês: o atingimento de receita ficou abaixo do gatilho.","Plano coerente com os guarda-corpos.")))</f>
        <v>Plano coerente com os guarda-corpos.</v>
      </c>
      <c r="C42" s="3"/>
      <c r="D42" s="3"/>
      <c r="E42" s="3"/>
    </row>
    <row r="44" spans="2:5" x14ac:dyDescent="0.2">
      <c r="B44" s="4" t="s">
        <v>70</v>
      </c>
      <c r="C44" s="4"/>
      <c r="D44" s="4"/>
      <c r="E44" s="4"/>
    </row>
  </sheetData>
  <mergeCells count="4">
    <mergeCell ref="B18:E18"/>
    <mergeCell ref="D25:E25"/>
    <mergeCell ref="B42:E42"/>
    <mergeCell ref="B44:E4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6" width="16" customWidth="1"/>
  </cols>
  <sheetData>
    <row r="2" spans="2:6" x14ac:dyDescent="0.2">
      <c r="B2" s="7" t="s">
        <v>71</v>
      </c>
    </row>
    <row r="3" spans="2:6" ht="23" x14ac:dyDescent="0.25">
      <c r="B3" s="8" t="s">
        <v>72</v>
      </c>
    </row>
    <row r="4" spans="2:6" x14ac:dyDescent="0.2">
      <c r="B4" s="1" t="s">
        <v>73</v>
      </c>
      <c r="C4" s="1"/>
      <c r="D4" s="1"/>
      <c r="E4" s="1"/>
      <c r="F4" s="1"/>
    </row>
    <row r="5" spans="2:6" x14ac:dyDescent="0.2">
      <c r="C5" s="14" t="s">
        <v>74</v>
      </c>
      <c r="D5" s="14"/>
      <c r="E5" s="14"/>
      <c r="F5" s="14"/>
    </row>
    <row r="6" spans="2:6" x14ac:dyDescent="0.2">
      <c r="B6" s="21" t="s">
        <v>57</v>
      </c>
      <c r="C6" s="29">
        <v>0</v>
      </c>
      <c r="D6" s="29">
        <v>0.6</v>
      </c>
      <c r="E6" s="29">
        <v>0.85</v>
      </c>
      <c r="F6" s="29">
        <v>1</v>
      </c>
    </row>
    <row r="7" spans="2:6" x14ac:dyDescent="0.2">
      <c r="B7" s="30">
        <v>0.5</v>
      </c>
      <c r="C7" s="31">
        <f>Calculadora!$C$10 + Calculadora!$C$16*MIN($B7,Calculadora!$C$33) + IF($B7&lt;Calculadora!$C$32,0,Calculadora!$C$17*C$6)</f>
        <v>7000</v>
      </c>
      <c r="D7" s="31">
        <f>Calculadora!$C$10 + Calculadora!$C$16*MIN($B7,Calculadora!$C$33) + IF($B7&lt;Calculadora!$C$32,0,Calculadora!$C$17*D$6)</f>
        <v>7000</v>
      </c>
      <c r="E7" s="31">
        <f>Calculadora!$C$10 + Calculadora!$C$16*MIN($B7,Calculadora!$C$33) + IF($B7&lt;Calculadora!$C$32,0,Calculadora!$C$17*E$6)</f>
        <v>7000</v>
      </c>
      <c r="F7" s="31">
        <f>Calculadora!$C$10 + Calculadora!$C$16*MIN($B7,Calculadora!$C$33) + IF($B7&lt;Calculadora!$C$32,0,Calculadora!$C$17*F$6)</f>
        <v>7000</v>
      </c>
    </row>
    <row r="8" spans="2:6" x14ac:dyDescent="0.2">
      <c r="B8" s="30">
        <v>0.7</v>
      </c>
      <c r="C8" s="31">
        <f>Calculadora!$C$10 + Calculadora!$C$16*MIN($B8,Calculadora!$C$33) + IF($B8&lt;Calculadora!$C$32,0,Calculadora!$C$17*C$6)</f>
        <v>7800</v>
      </c>
      <c r="D8" s="31">
        <f>Calculadora!$C$10 + Calculadora!$C$16*MIN($B8,Calculadora!$C$33) + IF($B8&lt;Calculadora!$C$32,0,Calculadora!$C$17*D$6)</f>
        <v>8400</v>
      </c>
      <c r="E8" s="31">
        <f>Calculadora!$C$10 + Calculadora!$C$16*MIN($B8,Calculadora!$C$33) + IF($B8&lt;Calculadora!$C$32,0,Calculadora!$C$17*E$6)</f>
        <v>8650</v>
      </c>
      <c r="F8" s="31">
        <f>Calculadora!$C$10 + Calculadora!$C$16*MIN($B8,Calculadora!$C$33) + IF($B8&lt;Calculadora!$C$32,0,Calculadora!$C$17*F$6)</f>
        <v>8800</v>
      </c>
    </row>
    <row r="9" spans="2:6" x14ac:dyDescent="0.2">
      <c r="B9" s="30">
        <v>0.85</v>
      </c>
      <c r="C9" s="31">
        <f>Calculadora!$C$10 + Calculadora!$C$16*MIN($B9,Calculadora!$C$33) + IF($B9&lt;Calculadora!$C$32,0,Calculadora!$C$17*C$6)</f>
        <v>8400</v>
      </c>
      <c r="D9" s="31">
        <f>Calculadora!$C$10 + Calculadora!$C$16*MIN($B9,Calculadora!$C$33) + IF($B9&lt;Calculadora!$C$32,0,Calculadora!$C$17*D$6)</f>
        <v>9000</v>
      </c>
      <c r="E9" s="31">
        <f>Calculadora!$C$10 + Calculadora!$C$16*MIN($B9,Calculadora!$C$33) + IF($B9&lt;Calculadora!$C$32,0,Calculadora!$C$17*E$6)</f>
        <v>9250</v>
      </c>
      <c r="F9" s="31">
        <f>Calculadora!$C$10 + Calculadora!$C$16*MIN($B9,Calculadora!$C$33) + IF($B9&lt;Calculadora!$C$32,0,Calculadora!$C$17*F$6)</f>
        <v>9400</v>
      </c>
    </row>
    <row r="10" spans="2:6" x14ac:dyDescent="0.2">
      <c r="B10" s="30">
        <v>1</v>
      </c>
      <c r="C10" s="31">
        <f>Calculadora!$C$10 + Calculadora!$C$16*MIN($B10,Calculadora!$C$33) + IF($B10&lt;Calculadora!$C$32,0,Calculadora!$C$17*C$6)</f>
        <v>9000</v>
      </c>
      <c r="D10" s="31">
        <f>Calculadora!$C$10 + Calculadora!$C$16*MIN($B10,Calculadora!$C$33) + IF($B10&lt;Calculadora!$C$32,0,Calculadora!$C$17*D$6)</f>
        <v>9600</v>
      </c>
      <c r="E10" s="31">
        <f>Calculadora!$C$10 + Calculadora!$C$16*MIN($B10,Calculadora!$C$33) + IF($B10&lt;Calculadora!$C$32,0,Calculadora!$C$17*E$6)</f>
        <v>9850</v>
      </c>
      <c r="F10" s="31">
        <f>Calculadora!$C$10 + Calculadora!$C$16*MIN($B10,Calculadora!$C$33) + IF($B10&lt;Calculadora!$C$32,0,Calculadora!$C$17*F$6)</f>
        <v>10000</v>
      </c>
    </row>
    <row r="11" spans="2:6" x14ac:dyDescent="0.2">
      <c r="B11" s="30">
        <v>1.2</v>
      </c>
      <c r="C11" s="31">
        <f>Calculadora!$C$10 + Calculadora!$C$16*MIN($B11,Calculadora!$C$33) + IF($B11&lt;Calculadora!$C$32,0,Calculadora!$C$17*C$6)</f>
        <v>9800</v>
      </c>
      <c r="D11" s="31">
        <f>Calculadora!$C$10 + Calculadora!$C$16*MIN($B11,Calculadora!$C$33) + IF($B11&lt;Calculadora!$C$32,0,Calculadora!$C$17*D$6)</f>
        <v>10400</v>
      </c>
      <c r="E11" s="31">
        <f>Calculadora!$C$10 + Calculadora!$C$16*MIN($B11,Calculadora!$C$33) + IF($B11&lt;Calculadora!$C$32,0,Calculadora!$C$17*E$6)</f>
        <v>10650</v>
      </c>
      <c r="F11" s="31">
        <f>Calculadora!$C$10 + Calculadora!$C$16*MIN($B11,Calculadora!$C$33) + IF($B11&lt;Calculadora!$C$32,0,Calculadora!$C$17*F$6)</f>
        <v>10800</v>
      </c>
    </row>
    <row r="12" spans="2:6" x14ac:dyDescent="0.2">
      <c r="B12" s="30">
        <v>1.5</v>
      </c>
      <c r="C12" s="31">
        <f>Calculadora!$C$10 + Calculadora!$C$16*MIN($B12,Calculadora!$C$33) + IF($B12&lt;Calculadora!$C$32,0,Calculadora!$C$17*C$6)</f>
        <v>11000</v>
      </c>
      <c r="D12" s="31">
        <f>Calculadora!$C$10 + Calculadora!$C$16*MIN($B12,Calculadora!$C$33) + IF($B12&lt;Calculadora!$C$32,0,Calculadora!$C$17*D$6)</f>
        <v>11600</v>
      </c>
      <c r="E12" s="31">
        <f>Calculadora!$C$10 + Calculadora!$C$16*MIN($B12,Calculadora!$C$33) + IF($B12&lt;Calculadora!$C$32,0,Calculadora!$C$17*E$6)</f>
        <v>11850</v>
      </c>
      <c r="F12" s="31">
        <f>Calculadora!$C$10 + Calculadora!$C$16*MIN($B12,Calculadora!$C$33) + IF($B12&lt;Calculadora!$C$32,0,Calculadora!$C$17*F$6)</f>
        <v>12000</v>
      </c>
    </row>
    <row r="14" spans="2:6" ht="45.75" customHeight="1" x14ac:dyDescent="0.2">
      <c r="B14" s="5" t="s">
        <v>75</v>
      </c>
      <c r="C14" s="5"/>
      <c r="D14" s="5"/>
      <c r="E14" s="5"/>
      <c r="F14" s="5"/>
    </row>
    <row r="16" spans="2:6" x14ac:dyDescent="0.2">
      <c r="B16" s="14" t="s">
        <v>21</v>
      </c>
    </row>
  </sheetData>
  <mergeCells count="2">
    <mergeCell ref="B4:F4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Como usar</vt:lpstr>
      <vt:lpstr>Calculadora</vt:lpstr>
      <vt:lpstr>Cenários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Breno Barbieri</cp:lastModifiedBy>
  <cp:revision>0</cp:revision>
  <dcterms:created xsi:type="dcterms:W3CDTF">2026-07-28T22:26:56Z</dcterms:created>
  <dcterms:modified xsi:type="dcterms:W3CDTF">2026-07-28T22:38:59Z</dcterms:modified>
  <dc:language>en-US</dc:language>
</cp:coreProperties>
</file>