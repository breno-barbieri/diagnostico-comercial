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o usar" sheetId="1" state="visible" r:id="rId3"/>
    <sheet name="Daily" sheetId="2" state="visible" r:id="rId4"/>
    <sheet name="Painel" sheetId="3" state="visible" r:id="rId5"/>
    <sheet name="Lista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<sst xmlns="http://schemas.openxmlformats.org/spreadsheetml/2006/main" count="119" uniqueCount="103">
  <si>
    <t xml:space="preserve">BRENO BARBIERI · INTELIGÊNCIA COMERCIAL</t>
  </si>
  <si>
    <t xml:space="preserve">Daily comercial</t>
  </si>
  <si>
    <t xml:space="preserve">Quinze minutos, quatro perguntas, o sistema aberto na tela.</t>
  </si>
  <si>
    <t xml:space="preserve">A REGRA DE OURO</t>
  </si>
  <si>
    <t xml:space="preserve">Quer falar de venda? Abre o sistema. Se não está registrado, não pode virar base de decisão.</t>
  </si>
  <si>
    <t xml:space="preserve">AS QUATRO PERGUNTAS</t>
  </si>
  <si>
    <t xml:space="preserve">01  O que avançou de oportunidade ontem?</t>
  </si>
  <si>
    <t xml:space="preserve">Confere movimento real, não esforço. Avanço sem critério de passagem é card empurrado. A coluna 'De qual etapa veio' existe para isso ficar visível.</t>
  </si>
  <si>
    <t xml:space="preserve">02  Qual oportunidade mais próxima do fechamento vamos tracionar hoje?</t>
  </si>
  <si>
    <t xml:space="preserve">Foco. A daily não revisa o pipeline inteiro: escolhe onde a energia do dia vai. Toda oportunidade tracionada sai da reunião com próximo passo e data.</t>
  </si>
  <si>
    <t xml:space="preserve">03  Onde a minha entrada hoje pode acelerar algum fechamento?</t>
  </si>
  <si>
    <t xml:space="preserve">O líder se oferece antes de ser pedido. Registrar isso torna visível se a liderança está destravando negócio ou apenas cobrando número.</t>
  </si>
  <si>
    <t xml:space="preserve">04  Tem alguma oportunidade agarrada? Por quê?</t>
  </si>
  <si>
    <t xml:space="preserve">A pergunta mais valiosa da reunião. O motivo do travamento é categorizado de propósito: em quatro semanas, a coluna vira um diagnóstico de onde o seu funil vaza.</t>
  </si>
  <si>
    <t xml:space="preserve">COMO RODAR</t>
  </si>
  <si>
    <t xml:space="preserve">Quem conduz</t>
  </si>
  <si>
    <t xml:space="preserve">O líder comercial. Em pé, câmera aberta, sistema compartilhado na tela.</t>
  </si>
  <si>
    <t xml:space="preserve">Duração</t>
  </si>
  <si>
    <t xml:space="preserve">15 minutos. Passou disso, virou reunião de pipeline, que é outro rito, semanal.</t>
  </si>
  <si>
    <t xml:space="preserve">Quantas oportunidades</t>
  </si>
  <si>
    <t xml:space="preserve">De três a seis por vendedor. A daily prioriza; não faz a varredura completa do funil.</t>
  </si>
  <si>
    <t xml:space="preserve">O que não entra</t>
  </si>
  <si>
    <t xml:space="preserve">Oportunidade que não está no sistema. Registrar na hora vale mais que discutir de memória.</t>
  </si>
  <si>
    <t xml:space="preserve">Preenchimento</t>
  </si>
  <si>
    <t xml:space="preserve">Uma linha por oportunidade discutida, por dia. Preencha durante a reunião, não depois.</t>
  </si>
  <si>
    <t xml:space="preserve">LEGENDA DE PREENCHIMENTO</t>
  </si>
  <si>
    <t xml:space="preserve">Célula amarela</t>
  </si>
  <si>
    <t xml:space="preserve">Você preenche.</t>
  </si>
  <si>
    <t xml:space="preserve">Célula branca</t>
  </si>
  <si>
    <t xml:space="preserve">Você preenche (texto livre).</t>
  </si>
  <si>
    <t xml:space="preserve">Célula cinza</t>
  </si>
  <si>
    <t xml:space="preserve">Calculada. Não edite.</t>
  </si>
  <si>
    <t xml:space="preserve">A aba Painel lê a aba Daily automaticamente. Rode quatro semanas antes de tirar conclusão: um motivo de travamento concentrado acima de 30% deixa de ser caso isolado e passa a ser gargalo de processo.</t>
  </si>
  <si>
    <t xml:space="preserve">Breno Barbieri · Inteligência Comercial · octanesales.com.br</t>
  </si>
  <si>
    <t xml:space="preserve">DAILY COMERCIAL</t>
  </si>
  <si>
    <t xml:space="preserve">Uma linha por oportunidade discutida, por dia.</t>
  </si>
  <si>
    <t xml:space="preserve">Data</t>
  </si>
  <si>
    <t xml:space="preserve">Vendedor</t>
  </si>
  <si>
    <t xml:space="preserve">Oportunidade / cliente</t>
  </si>
  <si>
    <t xml:space="preserve">Valor (R$)</t>
  </si>
  <si>
    <t xml:space="preserve">Etapa atual</t>
  </si>
  <si>
    <t xml:space="preserve">P1 · Avançou desde ontem?</t>
  </si>
  <si>
    <t xml:space="preserve">P1 · Veio de qual etapa</t>
  </si>
  <si>
    <t xml:space="preserve">P2 · Traciona hoje?</t>
  </si>
  <si>
    <t xml:space="preserve">P2 · Próximo passo definido</t>
  </si>
  <si>
    <t xml:space="preserve">P2 · Data do passo</t>
  </si>
  <si>
    <t xml:space="preserve">P3 · Precisa do líder?</t>
  </si>
  <si>
    <t xml:space="preserve">P3 · Qual entrada do líder</t>
  </si>
  <si>
    <t xml:space="preserve">P4 · Está agarrada?</t>
  </si>
  <si>
    <t xml:space="preserve">P4 · Motivo do travamento</t>
  </si>
  <si>
    <t xml:space="preserve">Dias na etapa</t>
  </si>
  <si>
    <t xml:space="preserve">Alerta</t>
  </si>
  <si>
    <t xml:space="preserve">Ana Prado</t>
  </si>
  <si>
    <t xml:space="preserve">Metalúrgica Vertex · 40 licenças</t>
  </si>
  <si>
    <t xml:space="preserve">Proposta</t>
  </si>
  <si>
    <t xml:space="preserve">Sim</t>
  </si>
  <si>
    <t xml:space="preserve">Diagnóstico/Reunião</t>
  </si>
  <si>
    <t xml:space="preserve">Call com o diretor financeiro para revisar condição de pagamento</t>
  </si>
  <si>
    <t xml:space="preserve">Entrar na call como especialista para sustentar o valor</t>
  </si>
  <si>
    <t xml:space="preserve">Não</t>
  </si>
  <si>
    <t xml:space="preserve">Linha 6 é um exemplo de preenchimento. Apague antes de usar. Fórmulas da coluna Alerta já estão prontas até a linha 505.</t>
  </si>
  <si>
    <t xml:space="preserve">LEITURA DA OPERAÇÃO</t>
  </si>
  <si>
    <t xml:space="preserve">O que a sua daily está dizendo</t>
  </si>
  <si>
    <t xml:space="preserve">Calculado sobre tudo o que já foi registrado na aba Daily.</t>
  </si>
  <si>
    <t xml:space="preserve">VOLUME</t>
  </si>
  <si>
    <t xml:space="preserve">Oportunidades registradas na daily</t>
  </si>
  <si>
    <t xml:space="preserve">Valor total em discussão</t>
  </si>
  <si>
    <t xml:space="preserve">Oportunidades agarradas</t>
  </si>
  <si>
    <t xml:space="preserve">% agarradas</t>
  </si>
  <si>
    <t xml:space="preserve">Valor travado em oportunidades agarradas</t>
  </si>
  <si>
    <t xml:space="preserve">Tempo médio parado nas agarradas (dias)</t>
  </si>
  <si>
    <t xml:space="preserve">% das tracionadas com próximo passo definido</t>
  </si>
  <si>
    <t xml:space="preserve">ONDE O FUNIL TRAVA</t>
  </si>
  <si>
    <t xml:space="preserve">Motivo declarado</t>
  </si>
  <si>
    <t xml:space="preserve">Casos</t>
  </si>
  <si>
    <t xml:space="preserve">Valor travado</t>
  </si>
  <si>
    <t xml:space="preserve">Leitura · se este motivo concentrar, o gargalo é este</t>
  </si>
  <si>
    <t xml:space="preserve">Sem acesso a quem decide</t>
  </si>
  <si>
    <t xml:space="preserve">Qualificação: o funil avança sem o decisor mapeado. Gatilho de passagem fraco na entrada.</t>
  </si>
  <si>
    <t xml:space="preserve">Dor não validada na qualificação</t>
  </si>
  <si>
    <t xml:space="preserve">Qualificação: proposta enviada antes da dor estar validada. Etapa queimada.</t>
  </si>
  <si>
    <t xml:space="preserve">Preço acima do orçamento do cliente</t>
  </si>
  <si>
    <t xml:space="preserve">ICP ou proposta de valor: você está atraindo quem não tem orçamento, ou não sustenta o preço.</t>
  </si>
  <si>
    <t xml:space="preserve">Concorrente na disputa</t>
  </si>
  <si>
    <t xml:space="preserve">Diferenciação: o valor não está claro o bastante para o cliente escolher sem comparar preço.</t>
  </si>
  <si>
    <t xml:space="preserve">Timing do cliente (adiado)</t>
  </si>
  <si>
    <t xml:space="preserve">Timing é o motivo mais confortável de declarar. Concentração alta aqui costuma esconder falta de urgência construída na conversa.</t>
  </si>
  <si>
    <t xml:space="preserve">Falta follow-up nosso</t>
  </si>
  <si>
    <t xml:space="preserve">Processo: o problema é seu, não do cliente. Cadência e SLA resolvem. É o mais barato de corrigir.</t>
  </si>
  <si>
    <t xml:space="preserve">Aguardando entrega de algo nosso</t>
  </si>
  <si>
    <t xml:space="preserve">Operação interna: a venda depende de uma entrega que você não controla. Vira problema de capacidade, não de vendas.</t>
  </si>
  <si>
    <t xml:space="preserve">Não sabemos, falta registro</t>
  </si>
  <si>
    <t xml:space="preserve">Registro: o time não sabe por que o negócio parou. Sem isso, nenhuma leitura acima é confiável.</t>
  </si>
  <si>
    <t xml:space="preserve">Total declarado</t>
  </si>
  <si>
    <t xml:space="preserve">CONCENTRAÇÃO PRINCIPAL</t>
  </si>
  <si>
    <t xml:space="preserve">Este painel classifica onde a operação trava. Ele não mede quanto isso custa. Para isso é preciso reconstruir o funil com conversão por etapa, ciclo de venda e unit economics.</t>
  </si>
  <si>
    <t xml:space="preserve">Motivos de travamento</t>
  </si>
  <si>
    <t xml:space="preserve">Etapas do funil (edite conforme o seu funil)</t>
  </si>
  <si>
    <t xml:space="preserve">Sim/Não</t>
  </si>
  <si>
    <t xml:space="preserve">Primeiro contato</t>
  </si>
  <si>
    <t xml:space="preserve">Qualificação</t>
  </si>
  <si>
    <t xml:space="preserve">Negociação</t>
  </si>
  <si>
    <t xml:space="preserve">Fechamento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</si>
</sst>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&quot;R$ &quot;#,##0"/>
    <numFmt numFmtId="167" formatCode="0"/>
    <numFmt numFmtId="168" formatCode="0.0%"/>
    <numFmt numFmtId="169" formatCode="0.0"/>
    <numFmt numFmtId="170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A07C4B"/>
      <name val="Arial"/>
      <family val="0"/>
      <charset val="1"/>
    </font>
    <font>
      <sz val="18"/>
      <color rgb="FF0E0E10"/>
      <name val="Arial"/>
      <family val="0"/>
      <charset val="1"/>
    </font>
    <font>
      <sz val="11"/>
      <color rgb="FF2B2B2B"/>
      <name val="Arial"/>
      <family val="0"/>
      <charset val="1"/>
    </font>
    <font>
      <sz val="12"/>
      <color rgb="FF0E0E10"/>
      <name val="Arial"/>
      <family val="0"/>
      <charset val="1"/>
    </font>
    <font>
      <b val="true"/>
      <sz val="10"/>
      <color rgb="FF0E0E10"/>
      <name val="Arial"/>
      <family val="0"/>
      <charset val="1"/>
    </font>
    <font>
      <sz val="10"/>
      <color rgb="FF2B2B2B"/>
      <name val="Arial"/>
      <family val="0"/>
      <charset val="1"/>
    </font>
    <font>
      <i val="true"/>
      <sz val="10"/>
      <color rgb="FF2B2B2B"/>
      <name val="Arial"/>
      <family val="0"/>
      <charset val="1"/>
    </font>
    <font>
      <sz val="8"/>
      <color rgb="FF2B2B2B"/>
      <name val="Arial"/>
      <family val="0"/>
      <charset val="1"/>
    </font>
    <font>
      <sz val="14"/>
      <color rgb="FF0E0E10"/>
      <name val="Arial"/>
      <family val="0"/>
      <charset val="1"/>
    </font>
    <font>
      <i val="true"/>
      <sz val="9"/>
      <color rgb="FF2B2B2B"/>
      <name val="Arial"/>
      <family val="0"/>
      <charset val="1"/>
    </font>
    <font>
      <b val="true"/>
      <sz val="9"/>
      <color rgb="FFF2F0EC"/>
      <name val="Arial"/>
      <family val="0"/>
      <charset val="1"/>
    </font>
    <font>
      <sz val="10"/>
      <color rgb="FF0E0E10"/>
      <name val="Arial"/>
      <family val="0"/>
      <charset val="1"/>
    </font>
    <font>
      <sz val="9"/>
      <color rgb="FF2B2B2B"/>
      <name val="Arial"/>
      <family val="0"/>
      <charset val="1"/>
    </font>
    <font>
      <b val="true"/>
      <sz val="11"/>
      <color rgb="FF0E0E10"/>
      <name val="Arial"/>
      <family val="0"/>
      <charset val="1"/>
    </font>
    <font>
      <b val="true"/>
      <sz val="12"/>
      <color rgb="FF0E0E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2F0EC"/>
      </patternFill>
    </fill>
    <fill>
      <patternFill patternType="solid">
        <fgColor rgb="FFFFFFFF"/>
        <bgColor rgb="FFF2F0EC"/>
      </patternFill>
    </fill>
    <fill>
      <patternFill patternType="solid">
        <fgColor rgb="FFEFEDE8"/>
        <bgColor rgb="FFF2F0EC"/>
      </patternFill>
    </fill>
    <fill>
      <patternFill patternType="solid">
        <fgColor rgb="FF0E0E10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5CC"/>
      </left>
      <right style="thin">
        <color rgb="FFD9D5CC"/>
      </right>
      <top style="thin">
        <color rgb="FFD9D5CC"/>
      </top>
      <bottom style="thin">
        <color rgb="FFD9D5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A07C4B"/>
        <sz val="9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A07C4B"/>
      <rgbColor rgb="FF9999FF"/>
      <rgbColor rgb="FF993366"/>
      <rgbColor rgb="FFFFF2CC"/>
      <rgbColor rgb="FFF2F0EC"/>
      <rgbColor rgb="FF660066"/>
      <rgbColor rgb="FFFF8080"/>
      <rgbColor rgb="FF0066CC"/>
      <rgbColor rgb="FFD9D5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DE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E0E10"/>
      <rgbColor rgb="FF333300"/>
      <rgbColor rgb="FF993300"/>
      <rgbColor rgb="FF993366"/>
      <rgbColor rgb="FF333399"/>
      <rgbColor rgb="FF2B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78"/>
  </cols>
  <sheetData>
    <row r="2" customFormat="false" ht="15" hidden="false" customHeight="false" outlineLevel="0" collapsed="false">
      <c r="B2" s="1" t="s">
        <v>0</v>
      </c>
    </row>
    <row r="3" customFormat="false" ht="22.0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1" t="s">
        <v>3</v>
      </c>
    </row>
    <row r="7" customFormat="false" ht="15" hidden="false" customHeight="false" outlineLevel="0" collapsed="false">
      <c r="B7" s="4" t="s">
        <v>4</v>
      </c>
      <c r="C7" s="4"/>
    </row>
    <row r="9" customFormat="false" ht="15" hidden="false" customHeight="false" outlineLevel="0" collapsed="false">
      <c r="B9" s="1" t="s">
        <v>5</v>
      </c>
    </row>
    <row r="10" customFormat="false" ht="30" hidden="false" customHeight="true" outlineLevel="0" collapsed="false">
      <c r="B10" s="5" t="s">
        <v>6</v>
      </c>
      <c r="C10" s="6" t="s">
        <v>7</v>
      </c>
    </row>
    <row r="11" customFormat="false" ht="30" hidden="false" customHeight="true" outlineLevel="0" collapsed="false">
      <c r="B11" s="5" t="s">
        <v>8</v>
      </c>
      <c r="C11" s="6" t="s">
        <v>9</v>
      </c>
    </row>
    <row r="12" customFormat="false" ht="30" hidden="false" customHeight="true" outlineLevel="0" collapsed="false">
      <c r="B12" s="5" t="s">
        <v>10</v>
      </c>
      <c r="C12" s="6" t="s">
        <v>11</v>
      </c>
    </row>
    <row r="13" customFormat="false" ht="30" hidden="false" customHeight="true" outlineLevel="0" collapsed="false">
      <c r="B13" s="5" t="s">
        <v>12</v>
      </c>
      <c r="C13" s="6" t="s">
        <v>13</v>
      </c>
    </row>
    <row r="15" customFormat="false" ht="15" hidden="false" customHeight="false" outlineLevel="0" collapsed="false">
      <c r="B15" s="1" t="s">
        <v>14</v>
      </c>
    </row>
    <row r="16" customFormat="false" ht="15.75" hidden="false" customHeight="true" outlineLevel="0" collapsed="false">
      <c r="B16" s="5" t="s">
        <v>15</v>
      </c>
      <c r="C16" s="6" t="s">
        <v>16</v>
      </c>
    </row>
    <row r="17" customFormat="false" ht="15.75" hidden="false" customHeight="true" outlineLevel="0" collapsed="false">
      <c r="B17" s="5" t="s">
        <v>17</v>
      </c>
      <c r="C17" s="6" t="s">
        <v>18</v>
      </c>
    </row>
    <row r="18" customFormat="false" ht="15.75" hidden="false" customHeight="true" outlineLevel="0" collapsed="false">
      <c r="B18" s="5" t="s">
        <v>19</v>
      </c>
      <c r="C18" s="6" t="s">
        <v>20</v>
      </c>
    </row>
    <row r="19" customFormat="false" ht="15.75" hidden="false" customHeight="true" outlineLevel="0" collapsed="false">
      <c r="B19" s="5" t="s">
        <v>21</v>
      </c>
      <c r="C19" s="6" t="s">
        <v>22</v>
      </c>
    </row>
    <row r="20" customFormat="false" ht="15.75" hidden="false" customHeight="true" outlineLevel="0" collapsed="false">
      <c r="B20" s="5" t="s">
        <v>23</v>
      </c>
      <c r="C20" s="6" t="s">
        <v>24</v>
      </c>
    </row>
    <row r="22" customFormat="false" ht="15" hidden="false" customHeight="false" outlineLevel="0" collapsed="false">
      <c r="B22" s="1" t="s">
        <v>25</v>
      </c>
    </row>
    <row r="23" customFormat="false" ht="15" hidden="false" customHeight="false" outlineLevel="0" collapsed="false">
      <c r="B23" s="7" t="s">
        <v>26</v>
      </c>
      <c r="C23" s="8" t="s">
        <v>27</v>
      </c>
    </row>
    <row r="24" customFormat="false" ht="15" hidden="false" customHeight="false" outlineLevel="0" collapsed="false">
      <c r="B24" s="9" t="s">
        <v>28</v>
      </c>
      <c r="C24" s="8" t="s">
        <v>29</v>
      </c>
    </row>
    <row r="25" customFormat="false" ht="15" hidden="false" customHeight="false" outlineLevel="0" collapsed="false">
      <c r="B25" s="10" t="s">
        <v>30</v>
      </c>
      <c r="C25" s="8" t="s">
        <v>31</v>
      </c>
    </row>
    <row r="27" customFormat="false" ht="30" hidden="false" customHeight="true" outlineLevel="0" collapsed="false">
      <c r="B27" s="11" t="s">
        <v>32</v>
      </c>
      <c r="C27" s="11"/>
    </row>
    <row r="29" customFormat="false" ht="15" hidden="false" customHeight="false" outlineLevel="0" collapsed="false">
      <c r="B29" s="12" t="s">
        <v>33</v>
      </c>
    </row>
  </sheetData>
  <mergeCells count="2">
    <mergeCell ref="B7:C7"/>
    <mergeCell ref="B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20"/>
    <col collapsed="false" customWidth="true" hidden="false" outlineLevel="0" max="8" min="8" style="0" width="13"/>
    <col collapsed="false" customWidth="true" hidden="false" outlineLevel="0" max="9" min="9" style="0" width="34"/>
    <col collapsed="false" customWidth="true" hidden="false" outlineLevel="0" max="11" min="10" style="0" width="13"/>
    <col collapsed="false" customWidth="true" hidden="false" outlineLevel="0" max="12" min="12" style="0" width="30"/>
    <col collapsed="false" customWidth="true" hidden="false" outlineLevel="0" max="13" min="13" style="0" width="13"/>
    <col collapsed="false" customWidth="true" hidden="false" outlineLevel="0" max="14" min="14" style="0" width="34"/>
    <col collapsed="false" customWidth="true" hidden="false" outlineLevel="0" max="15" min="15" style="0" width="11"/>
    <col collapsed="false" customWidth="true" hidden="false" outlineLevel="0" max="16" min="16" style="0" width="26"/>
  </cols>
  <sheetData>
    <row r="1" customFormat="false" ht="15" hidden="false" customHeight="false" outlineLevel="0" collapsed="false">
      <c r="A1" s="1" t="s">
        <v>34</v>
      </c>
    </row>
    <row r="2" customFormat="false" ht="17.35" hidden="false" customHeight="false" outlineLevel="0" collapsed="false">
      <c r="A2" s="13" t="s">
        <v>35</v>
      </c>
    </row>
    <row r="3" customFormat="false" ht="15" hidden="false" customHeight="false" outlineLevel="0" collapsed="false">
      <c r="A3" s="14" t="s">
        <v>4</v>
      </c>
    </row>
    <row r="5" customFormat="false" ht="33.75" hidden="false" customHeight="true" outlineLevel="0" collapsed="false">
      <c r="A5" s="15" t="s">
        <v>36</v>
      </c>
      <c r="B5" s="15" t="s">
        <v>37</v>
      </c>
      <c r="C5" s="15" t="s">
        <v>38</v>
      </c>
      <c r="D5" s="15" t="s">
        <v>39</v>
      </c>
      <c r="E5" s="15" t="s">
        <v>40</v>
      </c>
      <c r="F5" s="15" t="s">
        <v>41</v>
      </c>
      <c r="G5" s="15" t="s">
        <v>42</v>
      </c>
      <c r="H5" s="15" t="s">
        <v>43</v>
      </c>
      <c r="I5" s="15" t="s">
        <v>44</v>
      </c>
      <c r="J5" s="15" t="s">
        <v>45</v>
      </c>
      <c r="K5" s="15" t="s">
        <v>46</v>
      </c>
      <c r="L5" s="15" t="s">
        <v>47</v>
      </c>
      <c r="M5" s="15" t="s">
        <v>48</v>
      </c>
      <c r="N5" s="15" t="s">
        <v>49</v>
      </c>
      <c r="O5" s="15" t="s">
        <v>50</v>
      </c>
      <c r="P5" s="15" t="s">
        <v>51</v>
      </c>
    </row>
    <row r="6" customFormat="false" ht="23.85" hidden="false" customHeight="false" outlineLevel="0" collapsed="false">
      <c r="A6" s="16" t="n">
        <f aca="true">TODAY()</f>
        <v>46231</v>
      </c>
      <c r="B6" s="17" t="s">
        <v>52</v>
      </c>
      <c r="C6" s="18" t="s">
        <v>53</v>
      </c>
      <c r="D6" s="19" t="n">
        <v>48000</v>
      </c>
      <c r="E6" s="20" t="s">
        <v>54</v>
      </c>
      <c r="F6" s="20" t="s">
        <v>55</v>
      </c>
      <c r="G6" s="20" t="s">
        <v>56</v>
      </c>
      <c r="H6" s="20" t="s">
        <v>55</v>
      </c>
      <c r="I6" s="17" t="s">
        <v>57</v>
      </c>
      <c r="J6" s="21" t="n">
        <f aca="true">TODAY()+1</f>
        <v>46232</v>
      </c>
      <c r="K6" s="20" t="s">
        <v>55</v>
      </c>
      <c r="L6" s="17" t="s">
        <v>58</v>
      </c>
      <c r="M6" s="20" t="s">
        <v>59</v>
      </c>
      <c r="N6" s="20"/>
      <c r="O6" s="17" t="n">
        <v>6</v>
      </c>
      <c r="P6" s="22" t="str">
        <f aca="false">IF(C6="","",IF(AND(M6="Sim",N6=""),"Agarrada sem motivo declarado",IF(AND(H6="Sim",I6=""),"Traciona hoje sem próximo passo",IF(AND(O6&lt;&gt;"",O6&gt;=14),"Parada há 14 dias ou mais",IF(AND(M6="Sim",O6&lt;&gt;"",O6&gt;=7),"Agarrada há 7 dias, escalar",IF(AND(I6&lt;&gt;"",J6=""),"Próximo passo sem data",""))))))</f>
        <v/>
      </c>
    </row>
    <row r="7" customFormat="false" ht="15" hidden="false" customHeight="false" outlineLevel="0" collapsed="false">
      <c r="A7" s="21"/>
      <c r="B7" s="17"/>
      <c r="C7" s="17"/>
      <c r="D7" s="19"/>
      <c r="E7" s="20"/>
      <c r="F7" s="20"/>
      <c r="G7" s="20"/>
      <c r="H7" s="20"/>
      <c r="I7" s="17"/>
      <c r="J7" s="21"/>
      <c r="K7" s="20"/>
      <c r="L7" s="17"/>
      <c r="M7" s="20"/>
      <c r="N7" s="20"/>
      <c r="O7" s="17"/>
      <c r="P7" s="22" t="str">
        <f aca="false">IF(C7="","",IF(AND(M7="Sim",N7=""),"Agarrada sem motivo declarado",IF(AND(H7="Sim",I7=""),"Traciona hoje sem próximo passo",IF(AND(O7&lt;&gt;"",O7&gt;=14),"Parada há 14 dias ou mais",IF(AND(M7="Sim",O7&lt;&gt;"",O7&gt;=7),"Agarrada há 7 dias, escalar",IF(AND(I7&lt;&gt;"",J7=""),"Próximo passo sem data",""))))))</f>
        <v/>
      </c>
    </row>
    <row r="8" customFormat="false" ht="15" hidden="false" customHeight="false" outlineLevel="0" collapsed="false">
      <c r="A8" s="21"/>
      <c r="B8" s="17"/>
      <c r="C8" s="17"/>
      <c r="D8" s="19"/>
      <c r="E8" s="20"/>
      <c r="F8" s="20"/>
      <c r="G8" s="20"/>
      <c r="H8" s="20"/>
      <c r="I8" s="17"/>
      <c r="J8" s="21"/>
      <c r="K8" s="20"/>
      <c r="L8" s="17"/>
      <c r="M8" s="20"/>
      <c r="N8" s="20"/>
      <c r="O8" s="17"/>
      <c r="P8" s="22" t="str">
        <f aca="false">IF(C8="","",IF(AND(M8="Sim",N8=""),"Agarrada sem motivo declarado",IF(AND(H8="Sim",I8=""),"Traciona hoje sem próximo passo",IF(AND(O8&lt;&gt;"",O8&gt;=14),"Parada há 14 dias ou mais",IF(AND(M8="Sim",O8&lt;&gt;"",O8&gt;=7),"Agarrada há 7 dias, escalar",IF(AND(I8&lt;&gt;"",J8=""),"Próximo passo sem data",""))))))</f>
        <v/>
      </c>
    </row>
    <row r="9" customFormat="false" ht="15" hidden="false" customHeight="false" outlineLevel="0" collapsed="false">
      <c r="A9" s="21"/>
      <c r="B9" s="17"/>
      <c r="C9" s="17"/>
      <c r="D9" s="19"/>
      <c r="E9" s="20"/>
      <c r="F9" s="20"/>
      <c r="G9" s="20"/>
      <c r="H9" s="20"/>
      <c r="I9" s="17"/>
      <c r="J9" s="21"/>
      <c r="K9" s="20"/>
      <c r="L9" s="17"/>
      <c r="M9" s="20"/>
      <c r="N9" s="20"/>
      <c r="O9" s="17"/>
      <c r="P9" s="22" t="str">
        <f aca="false">IF(C9="","",IF(AND(M9="Sim",N9=""),"Agarrada sem motivo declarado",IF(AND(H9="Sim",I9=""),"Traciona hoje sem próximo passo",IF(AND(O9&lt;&gt;"",O9&gt;=14),"Parada há 14 dias ou mais",IF(AND(M9="Sim",O9&lt;&gt;"",O9&gt;=7),"Agarrada há 7 dias, escalar",IF(AND(I9&lt;&gt;"",J9=""),"Próximo passo sem data",""))))))</f>
        <v/>
      </c>
    </row>
    <row r="10" customFormat="false" ht="15" hidden="false" customHeight="false" outlineLevel="0" collapsed="false">
      <c r="A10" s="21"/>
      <c r="B10" s="17"/>
      <c r="C10" s="17"/>
      <c r="D10" s="19"/>
      <c r="E10" s="20"/>
      <c r="F10" s="20"/>
      <c r="G10" s="20"/>
      <c r="H10" s="20"/>
      <c r="I10" s="17"/>
      <c r="J10" s="21"/>
      <c r="K10" s="20"/>
      <c r="L10" s="17"/>
      <c r="M10" s="20"/>
      <c r="N10" s="20"/>
      <c r="O10" s="17"/>
      <c r="P10" s="22" t="str">
        <f aca="false">IF(C10="","",IF(AND(M10="Sim",N10=""),"Agarrada sem motivo declarado",IF(AND(H10="Sim",I10=""),"Traciona hoje sem próximo passo",IF(AND(O10&lt;&gt;"",O10&gt;=14),"Parada há 14 dias ou mais",IF(AND(M10="Sim",O10&lt;&gt;"",O10&gt;=7),"Agarrada há 7 dias, escalar",IF(AND(I10&lt;&gt;"",J10=""),"Próximo passo sem data",""))))))</f>
        <v/>
      </c>
    </row>
    <row r="11" customFormat="false" ht="15" hidden="false" customHeight="false" outlineLevel="0" collapsed="false">
      <c r="A11" s="21"/>
      <c r="B11" s="17"/>
      <c r="C11" s="17"/>
      <c r="D11" s="19"/>
      <c r="E11" s="20"/>
      <c r="F11" s="20"/>
      <c r="G11" s="20"/>
      <c r="H11" s="20"/>
      <c r="I11" s="17"/>
      <c r="J11" s="21"/>
      <c r="K11" s="20"/>
      <c r="L11" s="17"/>
      <c r="M11" s="20"/>
      <c r="N11" s="20"/>
      <c r="O11" s="17"/>
      <c r="P11" s="22" t="str">
        <f aca="false">IF(C11="","",IF(AND(M11="Sim",N11=""),"Agarrada sem motivo declarado",IF(AND(H11="Sim",I11=""),"Traciona hoje sem próximo passo",IF(AND(O11&lt;&gt;"",O11&gt;=14),"Parada há 14 dias ou mais",IF(AND(M11="Sim",O11&lt;&gt;"",O11&gt;=7),"Agarrada há 7 dias, escalar",IF(AND(I11&lt;&gt;"",J11=""),"Próximo passo sem data",""))))))</f>
        <v/>
      </c>
    </row>
    <row r="12" customFormat="false" ht="15" hidden="false" customHeight="false" outlineLevel="0" collapsed="false">
      <c r="A12" s="21"/>
      <c r="B12" s="17"/>
      <c r="C12" s="17"/>
      <c r="D12" s="19"/>
      <c r="E12" s="20"/>
      <c r="F12" s="20"/>
      <c r="G12" s="20"/>
      <c r="H12" s="20"/>
      <c r="I12" s="17"/>
      <c r="J12" s="21"/>
      <c r="K12" s="20"/>
      <c r="L12" s="17"/>
      <c r="M12" s="20"/>
      <c r="N12" s="20"/>
      <c r="O12" s="17"/>
      <c r="P12" s="22" t="str">
        <f aca="false">IF(C12="","",IF(AND(M12="Sim",N12=""),"Agarrada sem motivo declarado",IF(AND(H12="Sim",I12=""),"Traciona hoje sem próximo passo",IF(AND(O12&lt;&gt;"",O12&gt;=14),"Parada há 14 dias ou mais",IF(AND(M12="Sim",O12&lt;&gt;"",O12&gt;=7),"Agarrada há 7 dias, escalar",IF(AND(I12&lt;&gt;"",J12=""),"Próximo passo sem data",""))))))</f>
        <v/>
      </c>
    </row>
    <row r="13" customFormat="false" ht="15" hidden="false" customHeight="false" outlineLevel="0" collapsed="false">
      <c r="A13" s="21"/>
      <c r="B13" s="17"/>
      <c r="C13" s="17"/>
      <c r="D13" s="19"/>
      <c r="E13" s="20"/>
      <c r="F13" s="20"/>
      <c r="G13" s="20"/>
      <c r="H13" s="20"/>
      <c r="I13" s="17"/>
      <c r="J13" s="21"/>
      <c r="K13" s="20"/>
      <c r="L13" s="17"/>
      <c r="M13" s="20"/>
      <c r="N13" s="20"/>
      <c r="O13" s="17"/>
      <c r="P13" s="22" t="str">
        <f aca="false">IF(C13="","",IF(AND(M13="Sim",N13=""),"Agarrada sem motivo declarado",IF(AND(H13="Sim",I13=""),"Traciona hoje sem próximo passo",IF(AND(O13&lt;&gt;"",O13&gt;=14),"Parada há 14 dias ou mais",IF(AND(M13="Sim",O13&lt;&gt;"",O13&gt;=7),"Agarrada há 7 dias, escalar",IF(AND(I13&lt;&gt;"",J13=""),"Próximo passo sem data",""))))))</f>
        <v/>
      </c>
    </row>
    <row r="14" customFormat="false" ht="15" hidden="false" customHeight="false" outlineLevel="0" collapsed="false">
      <c r="A14" s="21"/>
      <c r="B14" s="17"/>
      <c r="C14" s="17"/>
      <c r="D14" s="19"/>
      <c r="E14" s="20"/>
      <c r="F14" s="20"/>
      <c r="G14" s="20"/>
      <c r="H14" s="20"/>
      <c r="I14" s="17"/>
      <c r="J14" s="21"/>
      <c r="K14" s="20"/>
      <c r="L14" s="17"/>
      <c r="M14" s="20"/>
      <c r="N14" s="20"/>
      <c r="O14" s="17"/>
      <c r="P14" s="22" t="str">
        <f aca="false">IF(C14="","",IF(AND(M14="Sim",N14=""),"Agarrada sem motivo declarado",IF(AND(H14="Sim",I14=""),"Traciona hoje sem próximo passo",IF(AND(O14&lt;&gt;"",O14&gt;=14),"Parada há 14 dias ou mais",IF(AND(M14="Sim",O14&lt;&gt;"",O14&gt;=7),"Agarrada há 7 dias, escalar",IF(AND(I14&lt;&gt;"",J14=""),"Próximo passo sem data",""))))))</f>
        <v/>
      </c>
    </row>
    <row r="15" customFormat="false" ht="15" hidden="false" customHeight="false" outlineLevel="0" collapsed="false">
      <c r="A15" s="21"/>
      <c r="B15" s="17"/>
      <c r="C15" s="17"/>
      <c r="D15" s="19"/>
      <c r="E15" s="20"/>
      <c r="F15" s="20"/>
      <c r="G15" s="20"/>
      <c r="H15" s="20"/>
      <c r="I15" s="17"/>
      <c r="J15" s="21"/>
      <c r="K15" s="20"/>
      <c r="L15" s="17"/>
      <c r="M15" s="20"/>
      <c r="N15" s="20"/>
      <c r="O15" s="17"/>
      <c r="P15" s="22" t="str">
        <f aca="false">IF(C15="","",IF(AND(M15="Sim",N15=""),"Agarrada sem motivo declarado",IF(AND(H15="Sim",I15=""),"Traciona hoje sem próximo passo",IF(AND(O15&lt;&gt;"",O15&gt;=14),"Parada há 14 dias ou mais",IF(AND(M15="Sim",O15&lt;&gt;"",O15&gt;=7),"Agarrada há 7 dias, escalar",IF(AND(I15&lt;&gt;"",J15=""),"Próximo passo sem data",""))))))</f>
        <v/>
      </c>
    </row>
    <row r="16" customFormat="false" ht="15" hidden="false" customHeight="false" outlineLevel="0" collapsed="false">
      <c r="A16" s="21"/>
      <c r="B16" s="17"/>
      <c r="C16" s="17"/>
      <c r="D16" s="19"/>
      <c r="E16" s="20"/>
      <c r="F16" s="20"/>
      <c r="G16" s="20"/>
      <c r="H16" s="20"/>
      <c r="I16" s="17"/>
      <c r="J16" s="21"/>
      <c r="K16" s="20"/>
      <c r="L16" s="17"/>
      <c r="M16" s="20"/>
      <c r="N16" s="20"/>
      <c r="O16" s="17"/>
      <c r="P16" s="22" t="str">
        <f aca="false">IF(C16="","",IF(AND(M16="Sim",N16=""),"Agarrada sem motivo declarado",IF(AND(H16="Sim",I16=""),"Traciona hoje sem próximo passo",IF(AND(O16&lt;&gt;"",O16&gt;=14),"Parada há 14 dias ou mais",IF(AND(M16="Sim",O16&lt;&gt;"",O16&gt;=7),"Agarrada há 7 dias, escalar",IF(AND(I16&lt;&gt;"",J16=""),"Próximo passo sem data",""))))))</f>
        <v/>
      </c>
    </row>
    <row r="17" customFormat="false" ht="15" hidden="false" customHeight="false" outlineLevel="0" collapsed="false">
      <c r="A17" s="21"/>
      <c r="B17" s="17"/>
      <c r="C17" s="17"/>
      <c r="D17" s="19"/>
      <c r="E17" s="20"/>
      <c r="F17" s="20"/>
      <c r="G17" s="20"/>
      <c r="H17" s="20"/>
      <c r="I17" s="17"/>
      <c r="J17" s="21"/>
      <c r="K17" s="20"/>
      <c r="L17" s="17"/>
      <c r="M17" s="20"/>
      <c r="N17" s="20"/>
      <c r="O17" s="17"/>
      <c r="P17" s="22" t="str">
        <f aca="false">IF(C17="","",IF(AND(M17="Sim",N17=""),"Agarrada sem motivo declarado",IF(AND(H17="Sim",I17=""),"Traciona hoje sem próximo passo",IF(AND(O17&lt;&gt;"",O17&gt;=14),"Parada há 14 dias ou mais",IF(AND(M17="Sim",O17&lt;&gt;"",O17&gt;=7),"Agarrada há 7 dias, escalar",IF(AND(I17&lt;&gt;"",J17=""),"Próximo passo sem data",""))))))</f>
        <v/>
      </c>
    </row>
    <row r="18" customFormat="false" ht="15" hidden="false" customHeight="false" outlineLevel="0" collapsed="false">
      <c r="A18" s="21"/>
      <c r="B18" s="17"/>
      <c r="C18" s="17"/>
      <c r="D18" s="19"/>
      <c r="E18" s="20"/>
      <c r="F18" s="20"/>
      <c r="G18" s="20"/>
      <c r="H18" s="20"/>
      <c r="I18" s="17"/>
      <c r="J18" s="21"/>
      <c r="K18" s="20"/>
      <c r="L18" s="17"/>
      <c r="M18" s="20"/>
      <c r="N18" s="20"/>
      <c r="O18" s="17"/>
      <c r="P18" s="22" t="str">
        <f aca="false">IF(C18="","",IF(AND(M18="Sim",N18=""),"Agarrada sem motivo declarado",IF(AND(H18="Sim",I18=""),"Traciona hoje sem próximo passo",IF(AND(O18&lt;&gt;"",O18&gt;=14),"Parada há 14 dias ou mais",IF(AND(M18="Sim",O18&lt;&gt;"",O18&gt;=7),"Agarrada há 7 dias, escalar",IF(AND(I18&lt;&gt;"",J18=""),"Próximo passo sem data",""))))))</f>
        <v/>
      </c>
    </row>
    <row r="19" customFormat="false" ht="15" hidden="false" customHeight="false" outlineLevel="0" collapsed="false">
      <c r="A19" s="21"/>
      <c r="B19" s="17"/>
      <c r="C19" s="17"/>
      <c r="D19" s="19"/>
      <c r="E19" s="20"/>
      <c r="F19" s="20"/>
      <c r="G19" s="20"/>
      <c r="H19" s="20"/>
      <c r="I19" s="17"/>
      <c r="J19" s="21"/>
      <c r="K19" s="20"/>
      <c r="L19" s="17"/>
      <c r="M19" s="20"/>
      <c r="N19" s="20"/>
      <c r="O19" s="17"/>
      <c r="P19" s="22" t="str">
        <f aca="false">IF(C19="","",IF(AND(M19="Sim",N19=""),"Agarrada sem motivo declarado",IF(AND(H19="Sim",I19=""),"Traciona hoje sem próximo passo",IF(AND(O19&lt;&gt;"",O19&gt;=14),"Parada há 14 dias ou mais",IF(AND(M19="Sim",O19&lt;&gt;"",O19&gt;=7),"Agarrada há 7 dias, escalar",IF(AND(I19&lt;&gt;"",J19=""),"Próximo passo sem data",""))))))</f>
        <v/>
      </c>
    </row>
    <row r="20" customFormat="false" ht="15" hidden="false" customHeight="false" outlineLevel="0" collapsed="false">
      <c r="A20" s="21"/>
      <c r="B20" s="17"/>
      <c r="C20" s="17"/>
      <c r="D20" s="19"/>
      <c r="E20" s="20"/>
      <c r="F20" s="20"/>
      <c r="G20" s="20"/>
      <c r="H20" s="20"/>
      <c r="I20" s="17"/>
      <c r="J20" s="21"/>
      <c r="K20" s="20"/>
      <c r="L20" s="17"/>
      <c r="M20" s="20"/>
      <c r="N20" s="20"/>
      <c r="O20" s="17"/>
      <c r="P20" s="22" t="str">
        <f aca="false">IF(C20="","",IF(AND(M20="Sim",N20=""),"Agarrada sem motivo declarado",IF(AND(H20="Sim",I20=""),"Traciona hoje sem próximo passo",IF(AND(O20&lt;&gt;"",O20&gt;=14),"Parada há 14 dias ou mais",IF(AND(M20="Sim",O20&lt;&gt;"",O20&gt;=7),"Agarrada há 7 dias, escalar",IF(AND(I20&lt;&gt;"",J20=""),"Próximo passo sem data",""))))))</f>
        <v/>
      </c>
    </row>
    <row r="21" customFormat="false" ht="15" hidden="false" customHeight="false" outlineLevel="0" collapsed="false">
      <c r="A21" s="21"/>
      <c r="B21" s="17"/>
      <c r="C21" s="17"/>
      <c r="D21" s="19"/>
      <c r="E21" s="20"/>
      <c r="F21" s="20"/>
      <c r="G21" s="20"/>
      <c r="H21" s="20"/>
      <c r="I21" s="17"/>
      <c r="J21" s="21"/>
      <c r="K21" s="20"/>
      <c r="L21" s="17"/>
      <c r="M21" s="20"/>
      <c r="N21" s="20"/>
      <c r="O21" s="17"/>
      <c r="P21" s="22" t="str">
        <f aca="false">IF(C21="","",IF(AND(M21="Sim",N21=""),"Agarrada sem motivo declarado",IF(AND(H21="Sim",I21=""),"Traciona hoje sem próximo passo",IF(AND(O21&lt;&gt;"",O21&gt;=14),"Parada há 14 dias ou mais",IF(AND(M21="Sim",O21&lt;&gt;"",O21&gt;=7),"Agarrada há 7 dias, escalar",IF(AND(I21&lt;&gt;"",J21=""),"Próximo passo sem data",""))))))</f>
        <v/>
      </c>
    </row>
    <row r="22" customFormat="false" ht="15" hidden="false" customHeight="false" outlineLevel="0" collapsed="false">
      <c r="A22" s="21"/>
      <c r="B22" s="17"/>
      <c r="C22" s="17"/>
      <c r="D22" s="19"/>
      <c r="E22" s="20"/>
      <c r="F22" s="20"/>
      <c r="G22" s="20"/>
      <c r="H22" s="20"/>
      <c r="I22" s="17"/>
      <c r="J22" s="21"/>
      <c r="K22" s="20"/>
      <c r="L22" s="17"/>
      <c r="M22" s="20"/>
      <c r="N22" s="20"/>
      <c r="O22" s="17"/>
      <c r="P22" s="22" t="str">
        <f aca="false">IF(C22="","",IF(AND(M22="Sim",N22=""),"Agarrada sem motivo declarado",IF(AND(H22="Sim",I22=""),"Traciona hoje sem próximo passo",IF(AND(O22&lt;&gt;"",O22&gt;=14),"Parada há 14 dias ou mais",IF(AND(M22="Sim",O22&lt;&gt;"",O22&gt;=7),"Agarrada há 7 dias, escalar",IF(AND(I22&lt;&gt;"",J22=""),"Próximo passo sem data",""))))))</f>
        <v/>
      </c>
    </row>
    <row r="23" customFormat="false" ht="15" hidden="false" customHeight="false" outlineLevel="0" collapsed="false">
      <c r="A23" s="21"/>
      <c r="B23" s="17"/>
      <c r="C23" s="17"/>
      <c r="D23" s="19"/>
      <c r="E23" s="20"/>
      <c r="F23" s="20"/>
      <c r="G23" s="20"/>
      <c r="H23" s="20"/>
      <c r="I23" s="17"/>
      <c r="J23" s="21"/>
      <c r="K23" s="20"/>
      <c r="L23" s="17"/>
      <c r="M23" s="20"/>
      <c r="N23" s="20"/>
      <c r="O23" s="17"/>
      <c r="P23" s="22" t="str">
        <f aca="false">IF(C23="","",IF(AND(M23="Sim",N23=""),"Agarrada sem motivo declarado",IF(AND(H23="Sim",I23=""),"Traciona hoje sem próximo passo",IF(AND(O23&lt;&gt;"",O23&gt;=14),"Parada há 14 dias ou mais",IF(AND(M23="Sim",O23&lt;&gt;"",O23&gt;=7),"Agarrada há 7 dias, escalar",IF(AND(I23&lt;&gt;"",J23=""),"Próximo passo sem data",""))))))</f>
        <v/>
      </c>
    </row>
    <row r="24" customFormat="false" ht="15" hidden="false" customHeight="false" outlineLevel="0" collapsed="false">
      <c r="A24" s="21"/>
      <c r="B24" s="17"/>
      <c r="C24" s="17"/>
      <c r="D24" s="19"/>
      <c r="E24" s="20"/>
      <c r="F24" s="20"/>
      <c r="G24" s="20"/>
      <c r="H24" s="20"/>
      <c r="I24" s="17"/>
      <c r="J24" s="21"/>
      <c r="K24" s="20"/>
      <c r="L24" s="17"/>
      <c r="M24" s="20"/>
      <c r="N24" s="20"/>
      <c r="O24" s="17"/>
      <c r="P24" s="22" t="str">
        <f aca="false">IF(C24="","",IF(AND(M24="Sim",N24=""),"Agarrada sem motivo declarado",IF(AND(H24="Sim",I24=""),"Traciona hoje sem próximo passo",IF(AND(O24&lt;&gt;"",O24&gt;=14),"Parada há 14 dias ou mais",IF(AND(M24="Sim",O24&lt;&gt;"",O24&gt;=7),"Agarrada há 7 dias, escalar",IF(AND(I24&lt;&gt;"",J24=""),"Próximo passo sem data",""))))))</f>
        <v/>
      </c>
    </row>
    <row r="25" customFormat="false" ht="15" hidden="false" customHeight="false" outlineLevel="0" collapsed="false">
      <c r="A25" s="21"/>
      <c r="B25" s="17"/>
      <c r="C25" s="17"/>
      <c r="D25" s="19"/>
      <c r="E25" s="20"/>
      <c r="F25" s="20"/>
      <c r="G25" s="20"/>
      <c r="H25" s="20"/>
      <c r="I25" s="17"/>
      <c r="J25" s="21"/>
      <c r="K25" s="20"/>
      <c r="L25" s="17"/>
      <c r="M25" s="20"/>
      <c r="N25" s="20"/>
      <c r="O25" s="17"/>
      <c r="P25" s="22" t="str">
        <f aca="false">IF(C25="","",IF(AND(M25="Sim",N25=""),"Agarrada sem motivo declarado",IF(AND(H25="Sim",I25=""),"Traciona hoje sem próximo passo",IF(AND(O25&lt;&gt;"",O25&gt;=14),"Parada há 14 dias ou mais",IF(AND(M25="Sim",O25&lt;&gt;"",O25&gt;=7),"Agarrada há 7 dias, escalar",IF(AND(I25&lt;&gt;"",J25=""),"Próximo passo sem data",""))))))</f>
        <v/>
      </c>
    </row>
    <row r="26" customFormat="false" ht="15" hidden="false" customHeight="false" outlineLevel="0" collapsed="false">
      <c r="A26" s="21"/>
      <c r="B26" s="17"/>
      <c r="C26" s="17"/>
      <c r="D26" s="19"/>
      <c r="E26" s="20"/>
      <c r="F26" s="20"/>
      <c r="G26" s="20"/>
      <c r="H26" s="20"/>
      <c r="I26" s="17"/>
      <c r="J26" s="21"/>
      <c r="K26" s="20"/>
      <c r="L26" s="17"/>
      <c r="M26" s="20"/>
      <c r="N26" s="20"/>
      <c r="O26" s="17"/>
      <c r="P26" s="22" t="str">
        <f aca="false">IF(C26="","",IF(AND(M26="Sim",N26=""),"Agarrada sem motivo declarado",IF(AND(H26="Sim",I26=""),"Traciona hoje sem próximo passo",IF(AND(O26&lt;&gt;"",O26&gt;=14),"Parada há 14 dias ou mais",IF(AND(M26="Sim",O26&lt;&gt;"",O26&gt;=7),"Agarrada há 7 dias, escalar",IF(AND(I26&lt;&gt;"",J26=""),"Próximo passo sem data",""))))))</f>
        <v/>
      </c>
    </row>
    <row r="27" customFormat="false" ht="15" hidden="false" customHeight="false" outlineLevel="0" collapsed="false">
      <c r="A27" s="21"/>
      <c r="B27" s="17"/>
      <c r="C27" s="17"/>
      <c r="D27" s="19"/>
      <c r="E27" s="20"/>
      <c r="F27" s="20"/>
      <c r="G27" s="20"/>
      <c r="H27" s="20"/>
      <c r="I27" s="17"/>
      <c r="J27" s="21"/>
      <c r="K27" s="20"/>
      <c r="L27" s="17"/>
      <c r="M27" s="20"/>
      <c r="N27" s="20"/>
      <c r="O27" s="17"/>
      <c r="P27" s="22" t="str">
        <f aca="false">IF(C27="","",IF(AND(M27="Sim",N27=""),"Agarrada sem motivo declarado",IF(AND(H27="Sim",I27=""),"Traciona hoje sem próximo passo",IF(AND(O27&lt;&gt;"",O27&gt;=14),"Parada há 14 dias ou mais",IF(AND(M27="Sim",O27&lt;&gt;"",O27&gt;=7),"Agarrada há 7 dias, escalar",IF(AND(I27&lt;&gt;"",J27=""),"Próximo passo sem data",""))))))</f>
        <v/>
      </c>
    </row>
    <row r="28" customFormat="false" ht="15" hidden="false" customHeight="false" outlineLevel="0" collapsed="false">
      <c r="A28" s="21"/>
      <c r="B28" s="17"/>
      <c r="C28" s="17"/>
      <c r="D28" s="19"/>
      <c r="E28" s="20"/>
      <c r="F28" s="20"/>
      <c r="G28" s="20"/>
      <c r="H28" s="20"/>
      <c r="I28" s="17"/>
      <c r="J28" s="21"/>
      <c r="K28" s="20"/>
      <c r="L28" s="17"/>
      <c r="M28" s="20"/>
      <c r="N28" s="20"/>
      <c r="O28" s="17"/>
      <c r="P28" s="22" t="str">
        <f aca="false">IF(C28="","",IF(AND(M28="Sim",N28=""),"Agarrada sem motivo declarado",IF(AND(H28="Sim",I28=""),"Traciona hoje sem próximo passo",IF(AND(O28&lt;&gt;"",O28&gt;=14),"Parada há 14 dias ou mais",IF(AND(M28="Sim",O28&lt;&gt;"",O28&gt;=7),"Agarrada há 7 dias, escalar",IF(AND(I28&lt;&gt;"",J28=""),"Próximo passo sem data",""))))))</f>
        <v/>
      </c>
    </row>
    <row r="29" customFormat="false" ht="15" hidden="false" customHeight="false" outlineLevel="0" collapsed="false">
      <c r="A29" s="21"/>
      <c r="B29" s="17"/>
      <c r="C29" s="17"/>
      <c r="D29" s="19"/>
      <c r="E29" s="20"/>
      <c r="F29" s="20"/>
      <c r="G29" s="20"/>
      <c r="H29" s="20"/>
      <c r="I29" s="17"/>
      <c r="J29" s="21"/>
      <c r="K29" s="20"/>
      <c r="L29" s="17"/>
      <c r="M29" s="20"/>
      <c r="N29" s="20"/>
      <c r="O29" s="17"/>
      <c r="P29" s="22" t="str">
        <f aca="false">IF(C29="","",IF(AND(M29="Sim",N29=""),"Agarrada sem motivo declarado",IF(AND(H29="Sim",I29=""),"Traciona hoje sem próximo passo",IF(AND(O29&lt;&gt;"",O29&gt;=14),"Parada há 14 dias ou mais",IF(AND(M29="Sim",O29&lt;&gt;"",O29&gt;=7),"Agarrada há 7 dias, escalar",IF(AND(I29&lt;&gt;"",J29=""),"Próximo passo sem data",""))))))</f>
        <v/>
      </c>
    </row>
    <row r="30" customFormat="false" ht="15" hidden="false" customHeight="false" outlineLevel="0" collapsed="false">
      <c r="A30" s="21"/>
      <c r="B30" s="17"/>
      <c r="C30" s="17"/>
      <c r="D30" s="19"/>
      <c r="E30" s="20"/>
      <c r="F30" s="20"/>
      <c r="G30" s="20"/>
      <c r="H30" s="20"/>
      <c r="I30" s="17"/>
      <c r="J30" s="21"/>
      <c r="K30" s="20"/>
      <c r="L30" s="17"/>
      <c r="M30" s="20"/>
      <c r="N30" s="20"/>
      <c r="O30" s="17"/>
      <c r="P30" s="22" t="str">
        <f aca="false">IF(C30="","",IF(AND(M30="Sim",N30=""),"Agarrada sem motivo declarado",IF(AND(H30="Sim",I30=""),"Traciona hoje sem próximo passo",IF(AND(O30&lt;&gt;"",O30&gt;=14),"Parada há 14 dias ou mais",IF(AND(M30="Sim",O30&lt;&gt;"",O30&gt;=7),"Agarrada há 7 dias, escalar",IF(AND(I30&lt;&gt;"",J30=""),"Próximo passo sem data",""))))))</f>
        <v/>
      </c>
    </row>
    <row r="31" customFormat="false" ht="15" hidden="false" customHeight="false" outlineLevel="0" collapsed="false">
      <c r="A31" s="21"/>
      <c r="B31" s="17"/>
      <c r="C31" s="17"/>
      <c r="D31" s="19"/>
      <c r="E31" s="20"/>
      <c r="F31" s="20"/>
      <c r="G31" s="20"/>
      <c r="H31" s="20"/>
      <c r="I31" s="17"/>
      <c r="J31" s="21"/>
      <c r="K31" s="20"/>
      <c r="L31" s="17"/>
      <c r="M31" s="20"/>
      <c r="N31" s="20"/>
      <c r="O31" s="17"/>
      <c r="P31" s="22" t="str">
        <f aca="false">IF(C31="","",IF(AND(M31="Sim",N31=""),"Agarrada sem motivo declarado",IF(AND(H31="Sim",I31=""),"Traciona hoje sem próximo passo",IF(AND(O31&lt;&gt;"",O31&gt;=14),"Parada há 14 dias ou mais",IF(AND(M31="Sim",O31&lt;&gt;"",O31&gt;=7),"Agarrada há 7 dias, escalar",IF(AND(I31&lt;&gt;"",J31=""),"Próximo passo sem data",""))))))</f>
        <v/>
      </c>
    </row>
    <row r="32" customFormat="false" ht="15" hidden="false" customHeight="false" outlineLevel="0" collapsed="false">
      <c r="A32" s="21"/>
      <c r="B32" s="17"/>
      <c r="C32" s="17"/>
      <c r="D32" s="19"/>
      <c r="E32" s="20"/>
      <c r="F32" s="20"/>
      <c r="G32" s="20"/>
      <c r="H32" s="20"/>
      <c r="I32" s="17"/>
      <c r="J32" s="21"/>
      <c r="K32" s="20"/>
      <c r="L32" s="17"/>
      <c r="M32" s="20"/>
      <c r="N32" s="20"/>
      <c r="O32" s="17"/>
      <c r="P32" s="22" t="str">
        <f aca="false">IF(C32="","",IF(AND(M32="Sim",N32=""),"Agarrada sem motivo declarado",IF(AND(H32="Sim",I32=""),"Traciona hoje sem próximo passo",IF(AND(O32&lt;&gt;"",O32&gt;=14),"Parada há 14 dias ou mais",IF(AND(M32="Sim",O32&lt;&gt;"",O32&gt;=7),"Agarrada há 7 dias, escalar",IF(AND(I32&lt;&gt;"",J32=""),"Próximo passo sem data",""))))))</f>
        <v/>
      </c>
    </row>
    <row r="33" customFormat="false" ht="15" hidden="false" customHeight="false" outlineLevel="0" collapsed="false">
      <c r="A33" s="21"/>
      <c r="B33" s="17"/>
      <c r="C33" s="17"/>
      <c r="D33" s="19"/>
      <c r="E33" s="20"/>
      <c r="F33" s="20"/>
      <c r="G33" s="20"/>
      <c r="H33" s="20"/>
      <c r="I33" s="17"/>
      <c r="J33" s="21"/>
      <c r="K33" s="20"/>
      <c r="L33" s="17"/>
      <c r="M33" s="20"/>
      <c r="N33" s="20"/>
      <c r="O33" s="17"/>
      <c r="P33" s="22" t="str">
        <f aca="false">IF(C33="","",IF(AND(M33="Sim",N33=""),"Agarrada sem motivo declarado",IF(AND(H33="Sim",I33=""),"Traciona hoje sem próximo passo",IF(AND(O33&lt;&gt;"",O33&gt;=14),"Parada há 14 dias ou mais",IF(AND(M33="Sim",O33&lt;&gt;"",O33&gt;=7),"Agarrada há 7 dias, escalar",IF(AND(I33&lt;&gt;"",J33=""),"Próximo passo sem data",""))))))</f>
        <v/>
      </c>
    </row>
    <row r="34" customFormat="false" ht="15" hidden="false" customHeight="false" outlineLevel="0" collapsed="false">
      <c r="A34" s="21"/>
      <c r="B34" s="17"/>
      <c r="C34" s="17"/>
      <c r="D34" s="19"/>
      <c r="E34" s="20"/>
      <c r="F34" s="20"/>
      <c r="G34" s="20"/>
      <c r="H34" s="20"/>
      <c r="I34" s="17"/>
      <c r="J34" s="21"/>
      <c r="K34" s="20"/>
      <c r="L34" s="17"/>
      <c r="M34" s="20"/>
      <c r="N34" s="20"/>
      <c r="O34" s="17"/>
      <c r="P34" s="22" t="str">
        <f aca="false">IF(C34="","",IF(AND(M34="Sim",N34=""),"Agarrada sem motivo declarado",IF(AND(H34="Sim",I34=""),"Traciona hoje sem próximo passo",IF(AND(O34&lt;&gt;"",O34&gt;=14),"Parada há 14 dias ou mais",IF(AND(M34="Sim",O34&lt;&gt;"",O34&gt;=7),"Agarrada há 7 dias, escalar",IF(AND(I34&lt;&gt;"",J34=""),"Próximo passo sem data",""))))))</f>
        <v/>
      </c>
    </row>
    <row r="35" customFormat="false" ht="15" hidden="false" customHeight="false" outlineLevel="0" collapsed="false">
      <c r="A35" s="21"/>
      <c r="B35" s="17"/>
      <c r="C35" s="17"/>
      <c r="D35" s="19"/>
      <c r="E35" s="20"/>
      <c r="F35" s="20"/>
      <c r="G35" s="20"/>
      <c r="H35" s="20"/>
      <c r="I35" s="17"/>
      <c r="J35" s="21"/>
      <c r="K35" s="20"/>
      <c r="L35" s="17"/>
      <c r="M35" s="20"/>
      <c r="N35" s="20"/>
      <c r="O35" s="17"/>
      <c r="P35" s="22" t="str">
        <f aca="false">IF(C35="","",IF(AND(M35="Sim",N35=""),"Agarrada sem motivo declarado",IF(AND(H35="Sim",I35=""),"Traciona hoje sem próximo passo",IF(AND(O35&lt;&gt;"",O35&gt;=14),"Parada há 14 dias ou mais",IF(AND(M35="Sim",O35&lt;&gt;"",O35&gt;=7),"Agarrada há 7 dias, escalar",IF(AND(I35&lt;&gt;"",J35=""),"Próximo passo sem data",""))))))</f>
        <v/>
      </c>
    </row>
    <row r="36" customFormat="false" ht="15" hidden="false" customHeight="false" outlineLevel="0" collapsed="false">
      <c r="A36" s="21"/>
      <c r="B36" s="17"/>
      <c r="C36" s="17"/>
      <c r="D36" s="19"/>
      <c r="E36" s="20"/>
      <c r="F36" s="20"/>
      <c r="G36" s="20"/>
      <c r="H36" s="20"/>
      <c r="I36" s="17"/>
      <c r="J36" s="21"/>
      <c r="K36" s="20"/>
      <c r="L36" s="17"/>
      <c r="M36" s="20"/>
      <c r="N36" s="20"/>
      <c r="O36" s="17"/>
      <c r="P36" s="22" t="str">
        <f aca="false">IF(C36="","",IF(AND(M36="Sim",N36=""),"Agarrada sem motivo declarado",IF(AND(H36="Sim",I36=""),"Traciona hoje sem próximo passo",IF(AND(O36&lt;&gt;"",O36&gt;=14),"Parada há 14 dias ou mais",IF(AND(M36="Sim",O36&lt;&gt;"",O36&gt;=7),"Agarrada há 7 dias, escalar",IF(AND(I36&lt;&gt;"",J36=""),"Próximo passo sem data",""))))))</f>
        <v/>
      </c>
    </row>
    <row r="37" customFormat="false" ht="15" hidden="false" customHeight="false" outlineLevel="0" collapsed="false">
      <c r="A37" s="21"/>
      <c r="B37" s="17"/>
      <c r="C37" s="17"/>
      <c r="D37" s="19"/>
      <c r="E37" s="20"/>
      <c r="F37" s="20"/>
      <c r="G37" s="20"/>
      <c r="H37" s="20"/>
      <c r="I37" s="17"/>
      <c r="J37" s="21"/>
      <c r="K37" s="20"/>
      <c r="L37" s="17"/>
      <c r="M37" s="20"/>
      <c r="N37" s="20"/>
      <c r="O37" s="17"/>
      <c r="P37" s="22" t="str">
        <f aca="false">IF(C37="","",IF(AND(M37="Sim",N37=""),"Agarrada sem motivo declarado",IF(AND(H37="Sim",I37=""),"Traciona hoje sem próximo passo",IF(AND(O37&lt;&gt;"",O37&gt;=14),"Parada há 14 dias ou mais",IF(AND(M37="Sim",O37&lt;&gt;"",O37&gt;=7),"Agarrada há 7 dias, escalar",IF(AND(I37&lt;&gt;"",J37=""),"Próximo passo sem data",""))))))</f>
        <v/>
      </c>
    </row>
    <row r="38" customFormat="false" ht="15" hidden="false" customHeight="false" outlineLevel="0" collapsed="false">
      <c r="A38" s="21"/>
      <c r="B38" s="17"/>
      <c r="C38" s="17"/>
      <c r="D38" s="19"/>
      <c r="E38" s="20"/>
      <c r="F38" s="20"/>
      <c r="G38" s="20"/>
      <c r="H38" s="20"/>
      <c r="I38" s="17"/>
      <c r="J38" s="21"/>
      <c r="K38" s="20"/>
      <c r="L38" s="17"/>
      <c r="M38" s="20"/>
      <c r="N38" s="20"/>
      <c r="O38" s="17"/>
      <c r="P38" s="22" t="str">
        <f aca="false">IF(C38="","",IF(AND(M38="Sim",N38=""),"Agarrada sem motivo declarado",IF(AND(H38="Sim",I38=""),"Traciona hoje sem próximo passo",IF(AND(O38&lt;&gt;"",O38&gt;=14),"Parada há 14 dias ou mais",IF(AND(M38="Sim",O38&lt;&gt;"",O38&gt;=7),"Agarrada há 7 dias, escalar",IF(AND(I38&lt;&gt;"",J38=""),"Próximo passo sem data",""))))))</f>
        <v/>
      </c>
    </row>
    <row r="39" customFormat="false" ht="15" hidden="false" customHeight="false" outlineLevel="0" collapsed="false">
      <c r="A39" s="21"/>
      <c r="B39" s="17"/>
      <c r="C39" s="17"/>
      <c r="D39" s="19"/>
      <c r="E39" s="20"/>
      <c r="F39" s="20"/>
      <c r="G39" s="20"/>
      <c r="H39" s="20"/>
      <c r="I39" s="17"/>
      <c r="J39" s="21"/>
      <c r="K39" s="20"/>
      <c r="L39" s="17"/>
      <c r="M39" s="20"/>
      <c r="N39" s="20"/>
      <c r="O39" s="17"/>
      <c r="P39" s="22" t="str">
        <f aca="false">IF(C39="","",IF(AND(M39="Sim",N39=""),"Agarrada sem motivo declarado",IF(AND(H39="Sim",I39=""),"Traciona hoje sem próximo passo",IF(AND(O39&lt;&gt;"",O39&gt;=14),"Parada há 14 dias ou mais",IF(AND(M39="Sim",O39&lt;&gt;"",O39&gt;=7),"Agarrada há 7 dias, escalar",IF(AND(I39&lt;&gt;"",J39=""),"Próximo passo sem data",""))))))</f>
        <v/>
      </c>
    </row>
    <row r="40" customFormat="false" ht="15" hidden="false" customHeight="false" outlineLevel="0" collapsed="false">
      <c r="A40" s="21"/>
      <c r="B40" s="17"/>
      <c r="C40" s="17"/>
      <c r="D40" s="19"/>
      <c r="E40" s="20"/>
      <c r="F40" s="20"/>
      <c r="G40" s="20"/>
      <c r="H40" s="20"/>
      <c r="I40" s="17"/>
      <c r="J40" s="21"/>
      <c r="K40" s="20"/>
      <c r="L40" s="17"/>
      <c r="M40" s="20"/>
      <c r="N40" s="20"/>
      <c r="O40" s="17"/>
      <c r="P40" s="22" t="str">
        <f aca="false">IF(C40="","",IF(AND(M40="Sim",N40=""),"Agarrada sem motivo declarado",IF(AND(H40="Sim",I40=""),"Traciona hoje sem próximo passo",IF(AND(O40&lt;&gt;"",O40&gt;=14),"Parada há 14 dias ou mais",IF(AND(M40="Sim",O40&lt;&gt;"",O40&gt;=7),"Agarrada há 7 dias, escalar",IF(AND(I40&lt;&gt;"",J40=""),"Próximo passo sem data",""))))))</f>
        <v/>
      </c>
    </row>
    <row r="41" customFormat="false" ht="15" hidden="false" customHeight="false" outlineLevel="0" collapsed="false">
      <c r="A41" s="21"/>
      <c r="B41" s="17"/>
      <c r="C41" s="17"/>
      <c r="D41" s="19"/>
      <c r="E41" s="20"/>
      <c r="F41" s="20"/>
      <c r="G41" s="20"/>
      <c r="H41" s="20"/>
      <c r="I41" s="17"/>
      <c r="J41" s="21"/>
      <c r="K41" s="20"/>
      <c r="L41" s="17"/>
      <c r="M41" s="20"/>
      <c r="N41" s="20"/>
      <c r="O41" s="17"/>
      <c r="P41" s="22" t="str">
        <f aca="false">IF(C41="","",IF(AND(M41="Sim",N41=""),"Agarrada sem motivo declarado",IF(AND(H41="Sim",I41=""),"Traciona hoje sem próximo passo",IF(AND(O41&lt;&gt;"",O41&gt;=14),"Parada há 14 dias ou mais",IF(AND(M41="Sim",O41&lt;&gt;"",O41&gt;=7),"Agarrada há 7 dias, escalar",IF(AND(I41&lt;&gt;"",J41=""),"Próximo passo sem data",""))))))</f>
        <v/>
      </c>
    </row>
    <row r="42" customFormat="false" ht="15" hidden="false" customHeight="false" outlineLevel="0" collapsed="false">
      <c r="A42" s="21"/>
      <c r="B42" s="17"/>
      <c r="C42" s="17"/>
      <c r="D42" s="19"/>
      <c r="E42" s="20"/>
      <c r="F42" s="20"/>
      <c r="G42" s="20"/>
      <c r="H42" s="20"/>
      <c r="I42" s="17"/>
      <c r="J42" s="21"/>
      <c r="K42" s="20"/>
      <c r="L42" s="17"/>
      <c r="M42" s="20"/>
      <c r="N42" s="20"/>
      <c r="O42" s="17"/>
      <c r="P42" s="22" t="str">
        <f aca="false">IF(C42="","",IF(AND(M42="Sim",N42=""),"Agarrada sem motivo declarado",IF(AND(H42="Sim",I42=""),"Traciona hoje sem próximo passo",IF(AND(O42&lt;&gt;"",O42&gt;=14),"Parada há 14 dias ou mais",IF(AND(M42="Sim",O42&lt;&gt;"",O42&gt;=7),"Agarrada há 7 dias, escalar",IF(AND(I42&lt;&gt;"",J42=""),"Próximo passo sem data",""))))))</f>
        <v/>
      </c>
    </row>
    <row r="43" customFormat="false" ht="15" hidden="false" customHeight="false" outlineLevel="0" collapsed="false">
      <c r="A43" s="21"/>
      <c r="B43" s="17"/>
      <c r="C43" s="17"/>
      <c r="D43" s="19"/>
      <c r="E43" s="20"/>
      <c r="F43" s="20"/>
      <c r="G43" s="20"/>
      <c r="H43" s="20"/>
      <c r="I43" s="17"/>
      <c r="J43" s="21"/>
      <c r="K43" s="20"/>
      <c r="L43" s="17"/>
      <c r="M43" s="20"/>
      <c r="N43" s="20"/>
      <c r="O43" s="17"/>
      <c r="P43" s="22" t="str">
        <f aca="false">IF(C43="","",IF(AND(M43="Sim",N43=""),"Agarrada sem motivo declarado",IF(AND(H43="Sim",I43=""),"Traciona hoje sem próximo passo",IF(AND(O43&lt;&gt;"",O43&gt;=14),"Parada há 14 dias ou mais",IF(AND(M43="Sim",O43&lt;&gt;"",O43&gt;=7),"Agarrada há 7 dias, escalar",IF(AND(I43&lt;&gt;"",J43=""),"Próximo passo sem data",""))))))</f>
        <v/>
      </c>
    </row>
    <row r="44" customFormat="false" ht="15" hidden="false" customHeight="false" outlineLevel="0" collapsed="false">
      <c r="A44" s="21"/>
      <c r="B44" s="17"/>
      <c r="C44" s="17"/>
      <c r="D44" s="19"/>
      <c r="E44" s="20"/>
      <c r="F44" s="20"/>
      <c r="G44" s="20"/>
      <c r="H44" s="20"/>
      <c r="I44" s="17"/>
      <c r="J44" s="21"/>
      <c r="K44" s="20"/>
      <c r="L44" s="17"/>
      <c r="M44" s="20"/>
      <c r="N44" s="20"/>
      <c r="O44" s="17"/>
      <c r="P44" s="22" t="str">
        <f aca="false">IF(C44="","",IF(AND(M44="Sim",N44=""),"Agarrada sem motivo declarado",IF(AND(H44="Sim",I44=""),"Traciona hoje sem próximo passo",IF(AND(O44&lt;&gt;"",O44&gt;=14),"Parada há 14 dias ou mais",IF(AND(M44="Sim",O44&lt;&gt;"",O44&gt;=7),"Agarrada há 7 dias, escalar",IF(AND(I44&lt;&gt;"",J44=""),"Próximo passo sem data",""))))))</f>
        <v/>
      </c>
    </row>
    <row r="45" customFormat="false" ht="15" hidden="false" customHeight="false" outlineLevel="0" collapsed="false">
      <c r="A45" s="21"/>
      <c r="B45" s="17"/>
      <c r="C45" s="17"/>
      <c r="D45" s="19"/>
      <c r="E45" s="20"/>
      <c r="F45" s="20"/>
      <c r="G45" s="20"/>
      <c r="H45" s="20"/>
      <c r="I45" s="17"/>
      <c r="J45" s="21"/>
      <c r="K45" s="20"/>
      <c r="L45" s="17"/>
      <c r="M45" s="20"/>
      <c r="N45" s="20"/>
      <c r="O45" s="17"/>
      <c r="P45" s="22" t="str">
        <f aca="false">IF(C45="","",IF(AND(M45="Sim",N45=""),"Agarrada sem motivo declarado",IF(AND(H45="Sim",I45=""),"Traciona hoje sem próximo passo",IF(AND(O45&lt;&gt;"",O45&gt;=14),"Parada há 14 dias ou mais",IF(AND(M45="Sim",O45&lt;&gt;"",O45&gt;=7),"Agarrada há 7 dias, escalar",IF(AND(I45&lt;&gt;"",J45=""),"Próximo passo sem data",""))))))</f>
        <v/>
      </c>
    </row>
    <row r="46" customFormat="false" ht="15" hidden="false" customHeight="false" outlineLevel="0" collapsed="false">
      <c r="A46" s="21"/>
      <c r="B46" s="17"/>
      <c r="C46" s="17"/>
      <c r="D46" s="19"/>
      <c r="E46" s="20"/>
      <c r="F46" s="20"/>
      <c r="G46" s="20"/>
      <c r="H46" s="20"/>
      <c r="I46" s="17"/>
      <c r="J46" s="21"/>
      <c r="K46" s="20"/>
      <c r="L46" s="17"/>
      <c r="M46" s="20"/>
      <c r="N46" s="20"/>
      <c r="O46" s="17"/>
      <c r="P46" s="22" t="str">
        <f aca="false">IF(C46="","",IF(AND(M46="Sim",N46=""),"Agarrada sem motivo declarado",IF(AND(H46="Sim",I46=""),"Traciona hoje sem próximo passo",IF(AND(O46&lt;&gt;"",O46&gt;=14),"Parada há 14 dias ou mais",IF(AND(M46="Sim",O46&lt;&gt;"",O46&gt;=7),"Agarrada há 7 dias, escalar",IF(AND(I46&lt;&gt;"",J46=""),"Próximo passo sem data",""))))))</f>
        <v/>
      </c>
    </row>
    <row r="47" customFormat="false" ht="15" hidden="false" customHeight="false" outlineLevel="0" collapsed="false">
      <c r="A47" s="21"/>
      <c r="B47" s="17"/>
      <c r="C47" s="17"/>
      <c r="D47" s="19"/>
      <c r="E47" s="20"/>
      <c r="F47" s="20"/>
      <c r="G47" s="20"/>
      <c r="H47" s="20"/>
      <c r="I47" s="17"/>
      <c r="J47" s="21"/>
      <c r="K47" s="20"/>
      <c r="L47" s="17"/>
      <c r="M47" s="20"/>
      <c r="N47" s="20"/>
      <c r="O47" s="17"/>
      <c r="P47" s="22" t="str">
        <f aca="false">IF(C47="","",IF(AND(M47="Sim",N47=""),"Agarrada sem motivo declarado",IF(AND(H47="Sim",I47=""),"Traciona hoje sem próximo passo",IF(AND(O47&lt;&gt;"",O47&gt;=14),"Parada há 14 dias ou mais",IF(AND(M47="Sim",O47&lt;&gt;"",O47&gt;=7),"Agarrada há 7 dias, escalar",IF(AND(I47&lt;&gt;"",J47=""),"Próximo passo sem data",""))))))</f>
        <v/>
      </c>
    </row>
    <row r="48" customFormat="false" ht="15" hidden="false" customHeight="false" outlineLevel="0" collapsed="false">
      <c r="A48" s="21"/>
      <c r="B48" s="17"/>
      <c r="C48" s="17"/>
      <c r="D48" s="19"/>
      <c r="E48" s="20"/>
      <c r="F48" s="20"/>
      <c r="G48" s="20"/>
      <c r="H48" s="20"/>
      <c r="I48" s="17"/>
      <c r="J48" s="21"/>
      <c r="K48" s="20"/>
      <c r="L48" s="17"/>
      <c r="M48" s="20"/>
      <c r="N48" s="20"/>
      <c r="O48" s="17"/>
      <c r="P48" s="22" t="str">
        <f aca="false">IF(C48="","",IF(AND(M48="Sim",N48=""),"Agarrada sem motivo declarado",IF(AND(H48="Sim",I48=""),"Traciona hoje sem próximo passo",IF(AND(O48&lt;&gt;"",O48&gt;=14),"Parada há 14 dias ou mais",IF(AND(M48="Sim",O48&lt;&gt;"",O48&gt;=7),"Agarrada há 7 dias, escalar",IF(AND(I48&lt;&gt;"",J48=""),"Próximo passo sem data",""))))))</f>
        <v/>
      </c>
    </row>
    <row r="49" customFormat="false" ht="15" hidden="false" customHeight="false" outlineLevel="0" collapsed="false">
      <c r="A49" s="21"/>
      <c r="B49" s="17"/>
      <c r="C49" s="17"/>
      <c r="D49" s="19"/>
      <c r="E49" s="20"/>
      <c r="F49" s="20"/>
      <c r="G49" s="20"/>
      <c r="H49" s="20"/>
      <c r="I49" s="17"/>
      <c r="J49" s="21"/>
      <c r="K49" s="20"/>
      <c r="L49" s="17"/>
      <c r="M49" s="20"/>
      <c r="N49" s="20"/>
      <c r="O49" s="17"/>
      <c r="P49" s="22" t="str">
        <f aca="false">IF(C49="","",IF(AND(M49="Sim",N49=""),"Agarrada sem motivo declarado",IF(AND(H49="Sim",I49=""),"Traciona hoje sem próximo passo",IF(AND(O49&lt;&gt;"",O49&gt;=14),"Parada há 14 dias ou mais",IF(AND(M49="Sim",O49&lt;&gt;"",O49&gt;=7),"Agarrada há 7 dias, escalar",IF(AND(I49&lt;&gt;"",J49=""),"Próximo passo sem data",""))))))</f>
        <v/>
      </c>
    </row>
    <row r="50" customFormat="false" ht="15" hidden="false" customHeight="false" outlineLevel="0" collapsed="false">
      <c r="A50" s="21"/>
      <c r="B50" s="17"/>
      <c r="C50" s="17"/>
      <c r="D50" s="19"/>
      <c r="E50" s="20"/>
      <c r="F50" s="20"/>
      <c r="G50" s="20"/>
      <c r="H50" s="20"/>
      <c r="I50" s="17"/>
      <c r="J50" s="21"/>
      <c r="K50" s="20"/>
      <c r="L50" s="17"/>
      <c r="M50" s="20"/>
      <c r="N50" s="20"/>
      <c r="O50" s="17"/>
      <c r="P50" s="22" t="str">
        <f aca="false">IF(C50="","",IF(AND(M50="Sim",N50=""),"Agarrada sem motivo declarado",IF(AND(H50="Sim",I50=""),"Traciona hoje sem próximo passo",IF(AND(O50&lt;&gt;"",O50&gt;=14),"Parada há 14 dias ou mais",IF(AND(M50="Sim",O50&lt;&gt;"",O50&gt;=7),"Agarrada há 7 dias, escalar",IF(AND(I50&lt;&gt;"",J50=""),"Próximo passo sem data",""))))))</f>
        <v/>
      </c>
    </row>
    <row r="51" customFormat="false" ht="15" hidden="false" customHeight="false" outlineLevel="0" collapsed="false">
      <c r="A51" s="21"/>
      <c r="B51" s="17"/>
      <c r="C51" s="17"/>
      <c r="D51" s="19"/>
      <c r="E51" s="20"/>
      <c r="F51" s="20"/>
      <c r="G51" s="20"/>
      <c r="H51" s="20"/>
      <c r="I51" s="17"/>
      <c r="J51" s="21"/>
      <c r="K51" s="20"/>
      <c r="L51" s="17"/>
      <c r="M51" s="20"/>
      <c r="N51" s="20"/>
      <c r="O51" s="17"/>
      <c r="P51" s="22" t="str">
        <f aca="false">IF(C51="","",IF(AND(M51="Sim",N51=""),"Agarrada sem motivo declarado",IF(AND(H51="Sim",I51=""),"Traciona hoje sem próximo passo",IF(AND(O51&lt;&gt;"",O51&gt;=14),"Parada há 14 dias ou mais",IF(AND(M51="Sim",O51&lt;&gt;"",O51&gt;=7),"Agarrada há 7 dias, escalar",IF(AND(I51&lt;&gt;"",J51=""),"Próximo passo sem data",""))))))</f>
        <v/>
      </c>
    </row>
    <row r="52" customFormat="false" ht="15" hidden="false" customHeight="false" outlineLevel="0" collapsed="false">
      <c r="A52" s="21"/>
      <c r="B52" s="17"/>
      <c r="C52" s="17"/>
      <c r="D52" s="19"/>
      <c r="E52" s="20"/>
      <c r="F52" s="20"/>
      <c r="G52" s="20"/>
      <c r="H52" s="20"/>
      <c r="I52" s="17"/>
      <c r="J52" s="21"/>
      <c r="K52" s="20"/>
      <c r="L52" s="17"/>
      <c r="M52" s="20"/>
      <c r="N52" s="20"/>
      <c r="O52" s="17"/>
      <c r="P52" s="22" t="str">
        <f aca="false">IF(C52="","",IF(AND(M52="Sim",N52=""),"Agarrada sem motivo declarado",IF(AND(H52="Sim",I52=""),"Traciona hoje sem próximo passo",IF(AND(O52&lt;&gt;"",O52&gt;=14),"Parada há 14 dias ou mais",IF(AND(M52="Sim",O52&lt;&gt;"",O52&gt;=7),"Agarrada há 7 dias, escalar",IF(AND(I52&lt;&gt;"",J52=""),"Próximo passo sem data",""))))))</f>
        <v/>
      </c>
    </row>
    <row r="53" customFormat="false" ht="15" hidden="false" customHeight="false" outlineLevel="0" collapsed="false">
      <c r="A53" s="21"/>
      <c r="B53" s="17"/>
      <c r="C53" s="17"/>
      <c r="D53" s="19"/>
      <c r="E53" s="20"/>
      <c r="F53" s="20"/>
      <c r="G53" s="20"/>
      <c r="H53" s="20"/>
      <c r="I53" s="17"/>
      <c r="J53" s="21"/>
      <c r="K53" s="20"/>
      <c r="L53" s="17"/>
      <c r="M53" s="20"/>
      <c r="N53" s="20"/>
      <c r="O53" s="17"/>
      <c r="P53" s="22" t="str">
        <f aca="false">IF(C53="","",IF(AND(M53="Sim",N53=""),"Agarrada sem motivo declarado",IF(AND(H53="Sim",I53=""),"Traciona hoje sem próximo passo",IF(AND(O53&lt;&gt;"",O53&gt;=14),"Parada há 14 dias ou mais",IF(AND(M53="Sim",O53&lt;&gt;"",O53&gt;=7),"Agarrada há 7 dias, escalar",IF(AND(I53&lt;&gt;"",J53=""),"Próximo passo sem data",""))))))</f>
        <v/>
      </c>
    </row>
    <row r="54" customFormat="false" ht="15" hidden="false" customHeight="false" outlineLevel="0" collapsed="false">
      <c r="A54" s="21"/>
      <c r="B54" s="17"/>
      <c r="C54" s="17"/>
      <c r="D54" s="19"/>
      <c r="E54" s="20"/>
      <c r="F54" s="20"/>
      <c r="G54" s="20"/>
      <c r="H54" s="20"/>
      <c r="I54" s="17"/>
      <c r="J54" s="21"/>
      <c r="K54" s="20"/>
      <c r="L54" s="17"/>
      <c r="M54" s="20"/>
      <c r="N54" s="20"/>
      <c r="O54" s="17"/>
      <c r="P54" s="22" t="str">
        <f aca="false">IF(C54="","",IF(AND(M54="Sim",N54=""),"Agarrada sem motivo declarado",IF(AND(H54="Sim",I54=""),"Traciona hoje sem próximo passo",IF(AND(O54&lt;&gt;"",O54&gt;=14),"Parada há 14 dias ou mais",IF(AND(M54="Sim",O54&lt;&gt;"",O54&gt;=7),"Agarrada há 7 dias, escalar",IF(AND(I54&lt;&gt;"",J54=""),"Próximo passo sem data",""))))))</f>
        <v/>
      </c>
    </row>
    <row r="55" customFormat="false" ht="15" hidden="false" customHeight="false" outlineLevel="0" collapsed="false">
      <c r="A55" s="21"/>
      <c r="B55" s="17"/>
      <c r="C55" s="17"/>
      <c r="D55" s="19"/>
      <c r="E55" s="20"/>
      <c r="F55" s="20"/>
      <c r="G55" s="20"/>
      <c r="H55" s="20"/>
      <c r="I55" s="17"/>
      <c r="J55" s="21"/>
      <c r="K55" s="20"/>
      <c r="L55" s="17"/>
      <c r="M55" s="20"/>
      <c r="N55" s="20"/>
      <c r="O55" s="17"/>
      <c r="P55" s="22" t="str">
        <f aca="false">IF(C55="","",IF(AND(M55="Sim",N55=""),"Agarrada sem motivo declarado",IF(AND(H55="Sim",I55=""),"Traciona hoje sem próximo passo",IF(AND(O55&lt;&gt;"",O55&gt;=14),"Parada há 14 dias ou mais",IF(AND(M55="Sim",O55&lt;&gt;"",O55&gt;=7),"Agarrada há 7 dias, escalar",IF(AND(I55&lt;&gt;"",J55=""),"Próximo passo sem data",""))))))</f>
        <v/>
      </c>
    </row>
    <row r="56" customFormat="false" ht="15" hidden="false" customHeight="false" outlineLevel="0" collapsed="false">
      <c r="A56" s="21"/>
      <c r="B56" s="17"/>
      <c r="C56" s="17"/>
      <c r="D56" s="19"/>
      <c r="E56" s="20"/>
      <c r="F56" s="20"/>
      <c r="G56" s="20"/>
      <c r="H56" s="20"/>
      <c r="I56" s="17"/>
      <c r="J56" s="21"/>
      <c r="K56" s="20"/>
      <c r="L56" s="17"/>
      <c r="M56" s="20"/>
      <c r="N56" s="20"/>
      <c r="O56" s="17"/>
      <c r="P56" s="22" t="str">
        <f aca="false">IF(C56="","",IF(AND(M56="Sim",N56=""),"Agarrada sem motivo declarado",IF(AND(H56="Sim",I56=""),"Traciona hoje sem próximo passo",IF(AND(O56&lt;&gt;"",O56&gt;=14),"Parada há 14 dias ou mais",IF(AND(M56="Sim",O56&lt;&gt;"",O56&gt;=7),"Agarrada há 7 dias, escalar",IF(AND(I56&lt;&gt;"",J56=""),"Próximo passo sem data",""))))))</f>
        <v/>
      </c>
    </row>
    <row r="57" customFormat="false" ht="15" hidden="false" customHeight="false" outlineLevel="0" collapsed="false">
      <c r="A57" s="21"/>
      <c r="B57" s="17"/>
      <c r="C57" s="17"/>
      <c r="D57" s="19"/>
      <c r="E57" s="20"/>
      <c r="F57" s="20"/>
      <c r="G57" s="20"/>
      <c r="H57" s="20"/>
      <c r="I57" s="17"/>
      <c r="J57" s="21"/>
      <c r="K57" s="20"/>
      <c r="L57" s="17"/>
      <c r="M57" s="20"/>
      <c r="N57" s="20"/>
      <c r="O57" s="17"/>
      <c r="P57" s="22" t="str">
        <f aca="false">IF(C57="","",IF(AND(M57="Sim",N57=""),"Agarrada sem motivo declarado",IF(AND(H57="Sim",I57=""),"Traciona hoje sem próximo passo",IF(AND(O57&lt;&gt;"",O57&gt;=14),"Parada há 14 dias ou mais",IF(AND(M57="Sim",O57&lt;&gt;"",O57&gt;=7),"Agarrada há 7 dias, escalar",IF(AND(I57&lt;&gt;"",J57=""),"Próximo passo sem data",""))))))</f>
        <v/>
      </c>
    </row>
    <row r="58" customFormat="false" ht="15" hidden="false" customHeight="false" outlineLevel="0" collapsed="false">
      <c r="A58" s="21"/>
      <c r="B58" s="17"/>
      <c r="C58" s="17"/>
      <c r="D58" s="19"/>
      <c r="E58" s="20"/>
      <c r="F58" s="20"/>
      <c r="G58" s="20"/>
      <c r="H58" s="20"/>
      <c r="I58" s="17"/>
      <c r="J58" s="21"/>
      <c r="K58" s="20"/>
      <c r="L58" s="17"/>
      <c r="M58" s="20"/>
      <c r="N58" s="20"/>
      <c r="O58" s="17"/>
      <c r="P58" s="22" t="str">
        <f aca="false">IF(C58="","",IF(AND(M58="Sim",N58=""),"Agarrada sem motivo declarado",IF(AND(H58="Sim",I58=""),"Traciona hoje sem próximo passo",IF(AND(O58&lt;&gt;"",O58&gt;=14),"Parada há 14 dias ou mais",IF(AND(M58="Sim",O58&lt;&gt;"",O58&gt;=7),"Agarrada há 7 dias, escalar",IF(AND(I58&lt;&gt;"",J58=""),"Próximo passo sem data",""))))))</f>
        <v/>
      </c>
    </row>
    <row r="59" customFormat="false" ht="15" hidden="false" customHeight="false" outlineLevel="0" collapsed="false">
      <c r="A59" s="21"/>
      <c r="B59" s="17"/>
      <c r="C59" s="17"/>
      <c r="D59" s="19"/>
      <c r="E59" s="20"/>
      <c r="F59" s="20"/>
      <c r="G59" s="20"/>
      <c r="H59" s="20"/>
      <c r="I59" s="17"/>
      <c r="J59" s="21"/>
      <c r="K59" s="20"/>
      <c r="L59" s="17"/>
      <c r="M59" s="20"/>
      <c r="N59" s="20"/>
      <c r="O59" s="17"/>
      <c r="P59" s="22" t="str">
        <f aca="false">IF(C59="","",IF(AND(M59="Sim",N59=""),"Agarrada sem motivo declarado",IF(AND(H59="Sim",I59=""),"Traciona hoje sem próximo passo",IF(AND(O59&lt;&gt;"",O59&gt;=14),"Parada há 14 dias ou mais",IF(AND(M59="Sim",O59&lt;&gt;"",O59&gt;=7),"Agarrada há 7 dias, escalar",IF(AND(I59&lt;&gt;"",J59=""),"Próximo passo sem data",""))))))</f>
        <v/>
      </c>
    </row>
    <row r="60" customFormat="false" ht="15" hidden="false" customHeight="false" outlineLevel="0" collapsed="false">
      <c r="A60" s="21"/>
      <c r="B60" s="17"/>
      <c r="C60" s="17"/>
      <c r="D60" s="19"/>
      <c r="E60" s="20"/>
      <c r="F60" s="20"/>
      <c r="G60" s="20"/>
      <c r="H60" s="20"/>
      <c r="I60" s="17"/>
      <c r="J60" s="21"/>
      <c r="K60" s="20"/>
      <c r="L60" s="17"/>
      <c r="M60" s="20"/>
      <c r="N60" s="20"/>
      <c r="O60" s="17"/>
      <c r="P60" s="22" t="str">
        <f aca="false">IF(C60="","",IF(AND(M60="Sim",N60=""),"Agarrada sem motivo declarado",IF(AND(H60="Sim",I60=""),"Traciona hoje sem próximo passo",IF(AND(O60&lt;&gt;"",O60&gt;=14),"Parada há 14 dias ou mais",IF(AND(M60="Sim",O60&lt;&gt;"",O60&gt;=7),"Agarrada há 7 dias, escalar",IF(AND(I60&lt;&gt;"",J60=""),"Próximo passo sem data",""))))))</f>
        <v/>
      </c>
    </row>
    <row r="61" customFormat="false" ht="15" hidden="false" customHeight="false" outlineLevel="0" collapsed="false">
      <c r="A61" s="21"/>
      <c r="B61" s="17"/>
      <c r="C61" s="17"/>
      <c r="D61" s="19"/>
      <c r="E61" s="20"/>
      <c r="F61" s="20"/>
      <c r="G61" s="20"/>
      <c r="H61" s="20"/>
      <c r="I61" s="17"/>
      <c r="J61" s="21"/>
      <c r="K61" s="20"/>
      <c r="L61" s="17"/>
      <c r="M61" s="20"/>
      <c r="N61" s="20"/>
      <c r="O61" s="17"/>
      <c r="P61" s="22" t="str">
        <f aca="false">IF(C61="","",IF(AND(M61="Sim",N61=""),"Agarrada sem motivo declarado",IF(AND(H61="Sim",I61=""),"Traciona hoje sem próximo passo",IF(AND(O61&lt;&gt;"",O61&gt;=14),"Parada há 14 dias ou mais",IF(AND(M61="Sim",O61&lt;&gt;"",O61&gt;=7),"Agarrada há 7 dias, escalar",IF(AND(I61&lt;&gt;"",J61=""),"Próximo passo sem data",""))))))</f>
        <v/>
      </c>
    </row>
    <row r="62" customFormat="false" ht="15" hidden="false" customHeight="false" outlineLevel="0" collapsed="false">
      <c r="A62" s="21"/>
      <c r="B62" s="17"/>
      <c r="C62" s="17"/>
      <c r="D62" s="19"/>
      <c r="E62" s="20"/>
      <c r="F62" s="20"/>
      <c r="G62" s="20"/>
      <c r="H62" s="20"/>
      <c r="I62" s="17"/>
      <c r="J62" s="21"/>
      <c r="K62" s="20"/>
      <c r="L62" s="17"/>
      <c r="M62" s="20"/>
      <c r="N62" s="20"/>
      <c r="O62" s="17"/>
      <c r="P62" s="22" t="str">
        <f aca="false">IF(C62="","",IF(AND(M62="Sim",N62=""),"Agarrada sem motivo declarado",IF(AND(H62="Sim",I62=""),"Traciona hoje sem próximo passo",IF(AND(O62&lt;&gt;"",O62&gt;=14),"Parada há 14 dias ou mais",IF(AND(M62="Sim",O62&lt;&gt;"",O62&gt;=7),"Agarrada há 7 dias, escalar",IF(AND(I62&lt;&gt;"",J62=""),"Próximo passo sem data",""))))))</f>
        <v/>
      </c>
    </row>
    <row r="63" customFormat="false" ht="15" hidden="false" customHeight="false" outlineLevel="0" collapsed="false">
      <c r="A63" s="21"/>
      <c r="B63" s="17"/>
      <c r="C63" s="17"/>
      <c r="D63" s="19"/>
      <c r="E63" s="20"/>
      <c r="F63" s="20"/>
      <c r="G63" s="20"/>
      <c r="H63" s="20"/>
      <c r="I63" s="17"/>
      <c r="J63" s="21"/>
      <c r="K63" s="20"/>
      <c r="L63" s="17"/>
      <c r="M63" s="20"/>
      <c r="N63" s="20"/>
      <c r="O63" s="17"/>
      <c r="P63" s="22" t="str">
        <f aca="false">IF(C63="","",IF(AND(M63="Sim",N63=""),"Agarrada sem motivo declarado",IF(AND(H63="Sim",I63=""),"Traciona hoje sem próximo passo",IF(AND(O63&lt;&gt;"",O63&gt;=14),"Parada há 14 dias ou mais",IF(AND(M63="Sim",O63&lt;&gt;"",O63&gt;=7),"Agarrada há 7 dias, escalar",IF(AND(I63&lt;&gt;"",J63=""),"Próximo passo sem data",""))))))</f>
        <v/>
      </c>
    </row>
    <row r="64" customFormat="false" ht="15" hidden="false" customHeight="false" outlineLevel="0" collapsed="false">
      <c r="A64" s="21"/>
      <c r="B64" s="17"/>
      <c r="C64" s="17"/>
      <c r="D64" s="19"/>
      <c r="E64" s="20"/>
      <c r="F64" s="20"/>
      <c r="G64" s="20"/>
      <c r="H64" s="20"/>
      <c r="I64" s="17"/>
      <c r="J64" s="21"/>
      <c r="K64" s="20"/>
      <c r="L64" s="17"/>
      <c r="M64" s="20"/>
      <c r="N64" s="20"/>
      <c r="O64" s="17"/>
      <c r="P64" s="22" t="str">
        <f aca="false">IF(C64="","",IF(AND(M64="Sim",N64=""),"Agarrada sem motivo declarado",IF(AND(H64="Sim",I64=""),"Traciona hoje sem próximo passo",IF(AND(O64&lt;&gt;"",O64&gt;=14),"Parada há 14 dias ou mais",IF(AND(M64="Sim",O64&lt;&gt;"",O64&gt;=7),"Agarrada há 7 dias, escalar",IF(AND(I64&lt;&gt;"",J64=""),"Próximo passo sem data",""))))))</f>
        <v/>
      </c>
    </row>
    <row r="65" customFormat="false" ht="15" hidden="false" customHeight="false" outlineLevel="0" collapsed="false">
      <c r="A65" s="21"/>
      <c r="B65" s="17"/>
      <c r="C65" s="17"/>
      <c r="D65" s="19"/>
      <c r="E65" s="20"/>
      <c r="F65" s="20"/>
      <c r="G65" s="20"/>
      <c r="H65" s="20"/>
      <c r="I65" s="17"/>
      <c r="J65" s="21"/>
      <c r="K65" s="20"/>
      <c r="L65" s="17"/>
      <c r="M65" s="20"/>
      <c r="N65" s="20"/>
      <c r="O65" s="17"/>
      <c r="P65" s="22" t="str">
        <f aca="false">IF(C65="","",IF(AND(M65="Sim",N65=""),"Agarrada sem motivo declarado",IF(AND(H65="Sim",I65=""),"Traciona hoje sem próximo passo",IF(AND(O65&lt;&gt;"",O65&gt;=14),"Parada há 14 dias ou mais",IF(AND(M65="Sim",O65&lt;&gt;"",O65&gt;=7),"Agarrada há 7 dias, escalar",IF(AND(I65&lt;&gt;"",J65=""),"Próximo passo sem data",""))))))</f>
        <v/>
      </c>
    </row>
    <row r="66" customFormat="false" ht="15" hidden="false" customHeight="false" outlineLevel="0" collapsed="false">
      <c r="A66" s="21"/>
      <c r="B66" s="17"/>
      <c r="C66" s="17"/>
      <c r="D66" s="19"/>
      <c r="E66" s="20"/>
      <c r="F66" s="20"/>
      <c r="G66" s="20"/>
      <c r="H66" s="20"/>
      <c r="I66" s="17"/>
      <c r="J66" s="21"/>
      <c r="K66" s="20"/>
      <c r="L66" s="17"/>
      <c r="M66" s="20"/>
      <c r="N66" s="20"/>
      <c r="O66" s="17"/>
      <c r="P66" s="22" t="str">
        <f aca="false">IF(C66="","",IF(AND(M66="Sim",N66=""),"Agarrada sem motivo declarado",IF(AND(H66="Sim",I66=""),"Traciona hoje sem próximo passo",IF(AND(O66&lt;&gt;"",O66&gt;=14),"Parada há 14 dias ou mais",IF(AND(M66="Sim",O66&lt;&gt;"",O66&gt;=7),"Agarrada há 7 dias, escalar",IF(AND(I66&lt;&gt;"",J66=""),"Próximo passo sem data",""))))))</f>
        <v/>
      </c>
    </row>
    <row r="67" customFormat="false" ht="15" hidden="false" customHeight="false" outlineLevel="0" collapsed="false">
      <c r="A67" s="21"/>
      <c r="B67" s="17"/>
      <c r="C67" s="17"/>
      <c r="D67" s="19"/>
      <c r="E67" s="20"/>
      <c r="F67" s="20"/>
      <c r="G67" s="20"/>
      <c r="H67" s="20"/>
      <c r="I67" s="17"/>
      <c r="J67" s="21"/>
      <c r="K67" s="20"/>
      <c r="L67" s="17"/>
      <c r="M67" s="20"/>
      <c r="N67" s="20"/>
      <c r="O67" s="17"/>
      <c r="P67" s="22" t="str">
        <f aca="false">IF(C67="","",IF(AND(M67="Sim",N67=""),"Agarrada sem motivo declarado",IF(AND(H67="Sim",I67=""),"Traciona hoje sem próximo passo",IF(AND(O67&lt;&gt;"",O67&gt;=14),"Parada há 14 dias ou mais",IF(AND(M67="Sim",O67&lt;&gt;"",O67&gt;=7),"Agarrada há 7 dias, escalar",IF(AND(I67&lt;&gt;"",J67=""),"Próximo passo sem data",""))))))</f>
        <v/>
      </c>
    </row>
    <row r="68" customFormat="false" ht="15" hidden="false" customHeight="false" outlineLevel="0" collapsed="false">
      <c r="A68" s="21"/>
      <c r="B68" s="17"/>
      <c r="C68" s="17"/>
      <c r="D68" s="19"/>
      <c r="E68" s="20"/>
      <c r="F68" s="20"/>
      <c r="G68" s="20"/>
      <c r="H68" s="20"/>
      <c r="I68" s="17"/>
      <c r="J68" s="21"/>
      <c r="K68" s="20"/>
      <c r="L68" s="17"/>
      <c r="M68" s="20"/>
      <c r="N68" s="20"/>
      <c r="O68" s="17"/>
      <c r="P68" s="22" t="str">
        <f aca="false">IF(C68="","",IF(AND(M68="Sim",N68=""),"Agarrada sem motivo declarado",IF(AND(H68="Sim",I68=""),"Traciona hoje sem próximo passo",IF(AND(O68&lt;&gt;"",O68&gt;=14),"Parada há 14 dias ou mais",IF(AND(M68="Sim",O68&lt;&gt;"",O68&gt;=7),"Agarrada há 7 dias, escalar",IF(AND(I68&lt;&gt;"",J68=""),"Próximo passo sem data",""))))))</f>
        <v/>
      </c>
    </row>
    <row r="69" customFormat="false" ht="15" hidden="false" customHeight="false" outlineLevel="0" collapsed="false">
      <c r="A69" s="21"/>
      <c r="B69" s="17"/>
      <c r="C69" s="17"/>
      <c r="D69" s="19"/>
      <c r="E69" s="20"/>
      <c r="F69" s="20"/>
      <c r="G69" s="20"/>
      <c r="H69" s="20"/>
      <c r="I69" s="17"/>
      <c r="J69" s="21"/>
      <c r="K69" s="20"/>
      <c r="L69" s="17"/>
      <c r="M69" s="20"/>
      <c r="N69" s="20"/>
      <c r="O69" s="17"/>
      <c r="P69" s="22" t="str">
        <f aca="false">IF(C69="","",IF(AND(M69="Sim",N69=""),"Agarrada sem motivo declarado",IF(AND(H69="Sim",I69=""),"Traciona hoje sem próximo passo",IF(AND(O69&lt;&gt;"",O69&gt;=14),"Parada há 14 dias ou mais",IF(AND(M69="Sim",O69&lt;&gt;"",O69&gt;=7),"Agarrada há 7 dias, escalar",IF(AND(I69&lt;&gt;"",J69=""),"Próximo passo sem data",""))))))</f>
        <v/>
      </c>
    </row>
    <row r="70" customFormat="false" ht="15" hidden="false" customHeight="false" outlineLevel="0" collapsed="false">
      <c r="A70" s="21"/>
      <c r="B70" s="17"/>
      <c r="C70" s="17"/>
      <c r="D70" s="19"/>
      <c r="E70" s="20"/>
      <c r="F70" s="20"/>
      <c r="G70" s="20"/>
      <c r="H70" s="20"/>
      <c r="I70" s="17"/>
      <c r="J70" s="21"/>
      <c r="K70" s="20"/>
      <c r="L70" s="17"/>
      <c r="M70" s="20"/>
      <c r="N70" s="20"/>
      <c r="O70" s="17"/>
      <c r="P70" s="22" t="str">
        <f aca="false">IF(C70="","",IF(AND(M70="Sim",N70=""),"Agarrada sem motivo declarado",IF(AND(H70="Sim",I70=""),"Traciona hoje sem próximo passo",IF(AND(O70&lt;&gt;"",O70&gt;=14),"Parada há 14 dias ou mais",IF(AND(M70="Sim",O70&lt;&gt;"",O70&gt;=7),"Agarrada há 7 dias, escalar",IF(AND(I70&lt;&gt;"",J70=""),"Próximo passo sem data",""))))))</f>
        <v/>
      </c>
    </row>
    <row r="71" customFormat="false" ht="15" hidden="false" customHeight="false" outlineLevel="0" collapsed="false">
      <c r="A71" s="21"/>
      <c r="B71" s="17"/>
      <c r="C71" s="17"/>
      <c r="D71" s="19"/>
      <c r="E71" s="20"/>
      <c r="F71" s="20"/>
      <c r="G71" s="20"/>
      <c r="H71" s="20"/>
      <c r="I71" s="17"/>
      <c r="J71" s="21"/>
      <c r="K71" s="20"/>
      <c r="L71" s="17"/>
      <c r="M71" s="20"/>
      <c r="N71" s="20"/>
      <c r="O71" s="17"/>
      <c r="P71" s="22" t="str">
        <f aca="false">IF(C71="","",IF(AND(M71="Sim",N71=""),"Agarrada sem motivo declarado",IF(AND(H71="Sim",I71=""),"Traciona hoje sem próximo passo",IF(AND(O71&lt;&gt;"",O71&gt;=14),"Parada há 14 dias ou mais",IF(AND(M71="Sim",O71&lt;&gt;"",O71&gt;=7),"Agarrada há 7 dias, escalar",IF(AND(I71&lt;&gt;"",J71=""),"Próximo passo sem data",""))))))</f>
        <v/>
      </c>
    </row>
    <row r="72" customFormat="false" ht="15" hidden="false" customHeight="false" outlineLevel="0" collapsed="false">
      <c r="A72" s="21"/>
      <c r="B72" s="17"/>
      <c r="C72" s="17"/>
      <c r="D72" s="19"/>
      <c r="E72" s="20"/>
      <c r="F72" s="20"/>
      <c r="G72" s="20"/>
      <c r="H72" s="20"/>
      <c r="I72" s="17"/>
      <c r="J72" s="21"/>
      <c r="K72" s="20"/>
      <c r="L72" s="17"/>
      <c r="M72" s="20"/>
      <c r="N72" s="20"/>
      <c r="O72" s="17"/>
      <c r="P72" s="22" t="str">
        <f aca="false">IF(C72="","",IF(AND(M72="Sim",N72=""),"Agarrada sem motivo declarado",IF(AND(H72="Sim",I72=""),"Traciona hoje sem próximo passo",IF(AND(O72&lt;&gt;"",O72&gt;=14),"Parada há 14 dias ou mais",IF(AND(M72="Sim",O72&lt;&gt;"",O72&gt;=7),"Agarrada há 7 dias, escalar",IF(AND(I72&lt;&gt;"",J72=""),"Próximo passo sem data",""))))))</f>
        <v/>
      </c>
    </row>
    <row r="73" customFormat="false" ht="15" hidden="false" customHeight="false" outlineLevel="0" collapsed="false">
      <c r="A73" s="21"/>
      <c r="B73" s="17"/>
      <c r="C73" s="17"/>
      <c r="D73" s="19"/>
      <c r="E73" s="20"/>
      <c r="F73" s="20"/>
      <c r="G73" s="20"/>
      <c r="H73" s="20"/>
      <c r="I73" s="17"/>
      <c r="J73" s="21"/>
      <c r="K73" s="20"/>
      <c r="L73" s="17"/>
      <c r="M73" s="20"/>
      <c r="N73" s="20"/>
      <c r="O73" s="17"/>
      <c r="P73" s="22" t="str">
        <f aca="false">IF(C73="","",IF(AND(M73="Sim",N73=""),"Agarrada sem motivo declarado",IF(AND(H73="Sim",I73=""),"Traciona hoje sem próximo passo",IF(AND(O73&lt;&gt;"",O73&gt;=14),"Parada há 14 dias ou mais",IF(AND(M73="Sim",O73&lt;&gt;"",O73&gt;=7),"Agarrada há 7 dias, escalar",IF(AND(I73&lt;&gt;"",J73=""),"Próximo passo sem data",""))))))</f>
        <v/>
      </c>
    </row>
    <row r="74" customFormat="false" ht="15" hidden="false" customHeight="false" outlineLevel="0" collapsed="false">
      <c r="A74" s="21"/>
      <c r="B74" s="17"/>
      <c r="C74" s="17"/>
      <c r="D74" s="19"/>
      <c r="E74" s="20"/>
      <c r="F74" s="20"/>
      <c r="G74" s="20"/>
      <c r="H74" s="20"/>
      <c r="I74" s="17"/>
      <c r="J74" s="21"/>
      <c r="K74" s="20"/>
      <c r="L74" s="17"/>
      <c r="M74" s="20"/>
      <c r="N74" s="20"/>
      <c r="O74" s="17"/>
      <c r="P74" s="22" t="str">
        <f aca="false">IF(C74="","",IF(AND(M74="Sim",N74=""),"Agarrada sem motivo declarado",IF(AND(H74="Sim",I74=""),"Traciona hoje sem próximo passo",IF(AND(O74&lt;&gt;"",O74&gt;=14),"Parada há 14 dias ou mais",IF(AND(M74="Sim",O74&lt;&gt;"",O74&gt;=7),"Agarrada há 7 dias, escalar",IF(AND(I74&lt;&gt;"",J74=""),"Próximo passo sem data",""))))))</f>
        <v/>
      </c>
    </row>
    <row r="75" customFormat="false" ht="15" hidden="false" customHeight="false" outlineLevel="0" collapsed="false">
      <c r="A75" s="21"/>
      <c r="B75" s="17"/>
      <c r="C75" s="17"/>
      <c r="D75" s="19"/>
      <c r="E75" s="20"/>
      <c r="F75" s="20"/>
      <c r="G75" s="20"/>
      <c r="H75" s="20"/>
      <c r="I75" s="17"/>
      <c r="J75" s="21"/>
      <c r="K75" s="20"/>
      <c r="L75" s="17"/>
      <c r="M75" s="20"/>
      <c r="N75" s="20"/>
      <c r="O75" s="17"/>
      <c r="P75" s="22" t="str">
        <f aca="false">IF(C75="","",IF(AND(M75="Sim",N75=""),"Agarrada sem motivo declarado",IF(AND(H75="Sim",I75=""),"Traciona hoje sem próximo passo",IF(AND(O75&lt;&gt;"",O75&gt;=14),"Parada há 14 dias ou mais",IF(AND(M75="Sim",O75&lt;&gt;"",O75&gt;=7),"Agarrada há 7 dias, escalar",IF(AND(I75&lt;&gt;"",J75=""),"Próximo passo sem data",""))))))</f>
        <v/>
      </c>
    </row>
    <row r="76" customFormat="false" ht="15" hidden="false" customHeight="false" outlineLevel="0" collapsed="false">
      <c r="A76" s="21"/>
      <c r="B76" s="17"/>
      <c r="C76" s="17"/>
      <c r="D76" s="19"/>
      <c r="E76" s="20"/>
      <c r="F76" s="20"/>
      <c r="G76" s="20"/>
      <c r="H76" s="20"/>
      <c r="I76" s="17"/>
      <c r="J76" s="21"/>
      <c r="K76" s="20"/>
      <c r="L76" s="17"/>
      <c r="M76" s="20"/>
      <c r="N76" s="20"/>
      <c r="O76" s="17"/>
      <c r="P76" s="22" t="str">
        <f aca="false">IF(C76="","",IF(AND(M76="Sim",N76=""),"Agarrada sem motivo declarado",IF(AND(H76="Sim",I76=""),"Traciona hoje sem próximo passo",IF(AND(O76&lt;&gt;"",O76&gt;=14),"Parada há 14 dias ou mais",IF(AND(M76="Sim",O76&lt;&gt;"",O76&gt;=7),"Agarrada há 7 dias, escalar",IF(AND(I76&lt;&gt;"",J76=""),"Próximo passo sem data",""))))))</f>
        <v/>
      </c>
    </row>
    <row r="77" customFormat="false" ht="15" hidden="false" customHeight="false" outlineLevel="0" collapsed="false">
      <c r="A77" s="21"/>
      <c r="B77" s="17"/>
      <c r="C77" s="17"/>
      <c r="D77" s="19"/>
      <c r="E77" s="20"/>
      <c r="F77" s="20"/>
      <c r="G77" s="20"/>
      <c r="H77" s="20"/>
      <c r="I77" s="17"/>
      <c r="J77" s="21"/>
      <c r="K77" s="20"/>
      <c r="L77" s="17"/>
      <c r="M77" s="20"/>
      <c r="N77" s="20"/>
      <c r="O77" s="17"/>
      <c r="P77" s="22" t="str">
        <f aca="false">IF(C77="","",IF(AND(M77="Sim",N77=""),"Agarrada sem motivo declarado",IF(AND(H77="Sim",I77=""),"Traciona hoje sem próximo passo",IF(AND(O77&lt;&gt;"",O77&gt;=14),"Parada há 14 dias ou mais",IF(AND(M77="Sim",O77&lt;&gt;"",O77&gt;=7),"Agarrada há 7 dias, escalar",IF(AND(I77&lt;&gt;"",J77=""),"Próximo passo sem data",""))))))</f>
        <v/>
      </c>
    </row>
    <row r="78" customFormat="false" ht="15" hidden="false" customHeight="false" outlineLevel="0" collapsed="false">
      <c r="A78" s="21"/>
      <c r="B78" s="17"/>
      <c r="C78" s="17"/>
      <c r="D78" s="19"/>
      <c r="E78" s="20"/>
      <c r="F78" s="20"/>
      <c r="G78" s="20"/>
      <c r="H78" s="20"/>
      <c r="I78" s="17"/>
      <c r="J78" s="21"/>
      <c r="K78" s="20"/>
      <c r="L78" s="17"/>
      <c r="M78" s="20"/>
      <c r="N78" s="20"/>
      <c r="O78" s="17"/>
      <c r="P78" s="22" t="str">
        <f aca="false">IF(C78="","",IF(AND(M78="Sim",N78=""),"Agarrada sem motivo declarado",IF(AND(H78="Sim",I78=""),"Traciona hoje sem próximo passo",IF(AND(O78&lt;&gt;"",O78&gt;=14),"Parada há 14 dias ou mais",IF(AND(M78="Sim",O78&lt;&gt;"",O78&gt;=7),"Agarrada há 7 dias, escalar",IF(AND(I78&lt;&gt;"",J78=""),"Próximo passo sem data",""))))))</f>
        <v/>
      </c>
    </row>
    <row r="79" customFormat="false" ht="15" hidden="false" customHeight="false" outlineLevel="0" collapsed="false">
      <c r="A79" s="21"/>
      <c r="B79" s="17"/>
      <c r="C79" s="17"/>
      <c r="D79" s="19"/>
      <c r="E79" s="20"/>
      <c r="F79" s="20"/>
      <c r="G79" s="20"/>
      <c r="H79" s="20"/>
      <c r="I79" s="17"/>
      <c r="J79" s="21"/>
      <c r="K79" s="20"/>
      <c r="L79" s="17"/>
      <c r="M79" s="20"/>
      <c r="N79" s="20"/>
      <c r="O79" s="17"/>
      <c r="P79" s="22" t="str">
        <f aca="false">IF(C79="","",IF(AND(M79="Sim",N79=""),"Agarrada sem motivo declarado",IF(AND(H79="Sim",I79=""),"Traciona hoje sem próximo passo",IF(AND(O79&lt;&gt;"",O79&gt;=14),"Parada há 14 dias ou mais",IF(AND(M79="Sim",O79&lt;&gt;"",O79&gt;=7),"Agarrada há 7 dias, escalar",IF(AND(I79&lt;&gt;"",J79=""),"Próximo passo sem data",""))))))</f>
        <v/>
      </c>
    </row>
    <row r="80" customFormat="false" ht="15" hidden="false" customHeight="false" outlineLevel="0" collapsed="false">
      <c r="A80" s="21"/>
      <c r="B80" s="17"/>
      <c r="C80" s="17"/>
      <c r="D80" s="19"/>
      <c r="E80" s="20"/>
      <c r="F80" s="20"/>
      <c r="G80" s="20"/>
      <c r="H80" s="20"/>
      <c r="I80" s="17"/>
      <c r="J80" s="21"/>
      <c r="K80" s="20"/>
      <c r="L80" s="17"/>
      <c r="M80" s="20"/>
      <c r="N80" s="20"/>
      <c r="O80" s="17"/>
      <c r="P80" s="22" t="str">
        <f aca="false">IF(C80="","",IF(AND(M80="Sim",N80=""),"Agarrada sem motivo declarado",IF(AND(H80="Sim",I80=""),"Traciona hoje sem próximo passo",IF(AND(O80&lt;&gt;"",O80&gt;=14),"Parada há 14 dias ou mais",IF(AND(M80="Sim",O80&lt;&gt;"",O80&gt;=7),"Agarrada há 7 dias, escalar",IF(AND(I80&lt;&gt;"",J80=""),"Próximo passo sem data",""))))))</f>
        <v/>
      </c>
    </row>
    <row r="81" customFormat="false" ht="15" hidden="false" customHeight="false" outlineLevel="0" collapsed="false">
      <c r="A81" s="21"/>
      <c r="B81" s="17"/>
      <c r="C81" s="17"/>
      <c r="D81" s="19"/>
      <c r="E81" s="20"/>
      <c r="F81" s="20"/>
      <c r="G81" s="20"/>
      <c r="H81" s="20"/>
      <c r="I81" s="17"/>
      <c r="J81" s="21"/>
      <c r="K81" s="20"/>
      <c r="L81" s="17"/>
      <c r="M81" s="20"/>
      <c r="N81" s="20"/>
      <c r="O81" s="17"/>
      <c r="P81" s="22" t="str">
        <f aca="false">IF(C81="","",IF(AND(M81="Sim",N81=""),"Agarrada sem motivo declarado",IF(AND(H81="Sim",I81=""),"Traciona hoje sem próximo passo",IF(AND(O81&lt;&gt;"",O81&gt;=14),"Parada há 14 dias ou mais",IF(AND(M81="Sim",O81&lt;&gt;"",O81&gt;=7),"Agarrada há 7 dias, escalar",IF(AND(I81&lt;&gt;"",J81=""),"Próximo passo sem data",""))))))</f>
        <v/>
      </c>
    </row>
    <row r="82" customFormat="false" ht="15" hidden="false" customHeight="false" outlineLevel="0" collapsed="false">
      <c r="A82" s="21"/>
      <c r="B82" s="17"/>
      <c r="C82" s="17"/>
      <c r="D82" s="19"/>
      <c r="E82" s="20"/>
      <c r="F82" s="20"/>
      <c r="G82" s="20"/>
      <c r="H82" s="20"/>
      <c r="I82" s="17"/>
      <c r="J82" s="21"/>
      <c r="K82" s="20"/>
      <c r="L82" s="17"/>
      <c r="M82" s="20"/>
      <c r="N82" s="20"/>
      <c r="O82" s="17"/>
      <c r="P82" s="22" t="str">
        <f aca="false">IF(C82="","",IF(AND(M82="Sim",N82=""),"Agarrada sem motivo declarado",IF(AND(H82="Sim",I82=""),"Traciona hoje sem próximo passo",IF(AND(O82&lt;&gt;"",O82&gt;=14),"Parada há 14 dias ou mais",IF(AND(M82="Sim",O82&lt;&gt;"",O82&gt;=7),"Agarrada há 7 dias, escalar",IF(AND(I82&lt;&gt;"",J82=""),"Próximo passo sem data",""))))))</f>
        <v/>
      </c>
    </row>
    <row r="83" customFormat="false" ht="15" hidden="false" customHeight="false" outlineLevel="0" collapsed="false">
      <c r="A83" s="21"/>
      <c r="B83" s="17"/>
      <c r="C83" s="17"/>
      <c r="D83" s="19"/>
      <c r="E83" s="20"/>
      <c r="F83" s="20"/>
      <c r="G83" s="20"/>
      <c r="H83" s="20"/>
      <c r="I83" s="17"/>
      <c r="J83" s="21"/>
      <c r="K83" s="20"/>
      <c r="L83" s="17"/>
      <c r="M83" s="20"/>
      <c r="N83" s="20"/>
      <c r="O83" s="17"/>
      <c r="P83" s="22" t="str">
        <f aca="false">IF(C83="","",IF(AND(M83="Sim",N83=""),"Agarrada sem motivo declarado",IF(AND(H83="Sim",I83=""),"Traciona hoje sem próximo passo",IF(AND(O83&lt;&gt;"",O83&gt;=14),"Parada há 14 dias ou mais",IF(AND(M83="Sim",O83&lt;&gt;"",O83&gt;=7),"Agarrada há 7 dias, escalar",IF(AND(I83&lt;&gt;"",J83=""),"Próximo passo sem data",""))))))</f>
        <v/>
      </c>
    </row>
    <row r="84" customFormat="false" ht="15" hidden="false" customHeight="false" outlineLevel="0" collapsed="false">
      <c r="A84" s="21"/>
      <c r="B84" s="17"/>
      <c r="C84" s="17"/>
      <c r="D84" s="19"/>
      <c r="E84" s="20"/>
      <c r="F84" s="20"/>
      <c r="G84" s="20"/>
      <c r="H84" s="20"/>
      <c r="I84" s="17"/>
      <c r="J84" s="21"/>
      <c r="K84" s="20"/>
      <c r="L84" s="17"/>
      <c r="M84" s="20"/>
      <c r="N84" s="20"/>
      <c r="O84" s="17"/>
      <c r="P84" s="22" t="str">
        <f aca="false">IF(C84="","",IF(AND(M84="Sim",N84=""),"Agarrada sem motivo declarado",IF(AND(H84="Sim",I84=""),"Traciona hoje sem próximo passo",IF(AND(O84&lt;&gt;"",O84&gt;=14),"Parada há 14 dias ou mais",IF(AND(M84="Sim",O84&lt;&gt;"",O84&gt;=7),"Agarrada há 7 dias, escalar",IF(AND(I84&lt;&gt;"",J84=""),"Próximo passo sem data",""))))))</f>
        <v/>
      </c>
    </row>
    <row r="85" customFormat="false" ht="15" hidden="false" customHeight="false" outlineLevel="0" collapsed="false">
      <c r="A85" s="21"/>
      <c r="B85" s="17"/>
      <c r="C85" s="17"/>
      <c r="D85" s="19"/>
      <c r="E85" s="20"/>
      <c r="F85" s="20"/>
      <c r="G85" s="20"/>
      <c r="H85" s="20"/>
      <c r="I85" s="17"/>
      <c r="J85" s="21"/>
      <c r="K85" s="20"/>
      <c r="L85" s="17"/>
      <c r="M85" s="20"/>
      <c r="N85" s="20"/>
      <c r="O85" s="17"/>
      <c r="P85" s="22" t="str">
        <f aca="false">IF(C85="","",IF(AND(M85="Sim",N85=""),"Agarrada sem motivo declarado",IF(AND(H85="Sim",I85=""),"Traciona hoje sem próximo passo",IF(AND(O85&lt;&gt;"",O85&gt;=14),"Parada há 14 dias ou mais",IF(AND(M85="Sim",O85&lt;&gt;"",O85&gt;=7),"Agarrada há 7 dias, escalar",IF(AND(I85&lt;&gt;"",J85=""),"Próximo passo sem data",""))))))</f>
        <v/>
      </c>
    </row>
    <row r="86" customFormat="false" ht="15" hidden="false" customHeight="false" outlineLevel="0" collapsed="false">
      <c r="A86" s="21"/>
      <c r="B86" s="17"/>
      <c r="C86" s="17"/>
      <c r="D86" s="19"/>
      <c r="E86" s="20"/>
      <c r="F86" s="20"/>
      <c r="G86" s="20"/>
      <c r="H86" s="20"/>
      <c r="I86" s="17"/>
      <c r="J86" s="21"/>
      <c r="K86" s="20"/>
      <c r="L86" s="17"/>
      <c r="M86" s="20"/>
      <c r="N86" s="20"/>
      <c r="O86" s="17"/>
      <c r="P86" s="22" t="str">
        <f aca="false">IF(C86="","",IF(AND(M86="Sim",N86=""),"Agarrada sem motivo declarado",IF(AND(H86="Sim",I86=""),"Traciona hoje sem próximo passo",IF(AND(O86&lt;&gt;"",O86&gt;=14),"Parada há 14 dias ou mais",IF(AND(M86="Sim",O86&lt;&gt;"",O86&gt;=7),"Agarrada há 7 dias, escalar",IF(AND(I86&lt;&gt;"",J86=""),"Próximo passo sem data",""))))))</f>
        <v/>
      </c>
    </row>
    <row r="87" customFormat="false" ht="15" hidden="false" customHeight="false" outlineLevel="0" collapsed="false">
      <c r="A87" s="21"/>
      <c r="B87" s="17"/>
      <c r="C87" s="17"/>
      <c r="D87" s="19"/>
      <c r="E87" s="20"/>
      <c r="F87" s="20"/>
      <c r="G87" s="20"/>
      <c r="H87" s="20"/>
      <c r="I87" s="17"/>
      <c r="J87" s="21"/>
      <c r="K87" s="20"/>
      <c r="L87" s="17"/>
      <c r="M87" s="20"/>
      <c r="N87" s="20"/>
      <c r="O87" s="17"/>
      <c r="P87" s="22" t="str">
        <f aca="false">IF(C87="","",IF(AND(M87="Sim",N87=""),"Agarrada sem motivo declarado",IF(AND(H87="Sim",I87=""),"Traciona hoje sem próximo passo",IF(AND(O87&lt;&gt;"",O87&gt;=14),"Parada há 14 dias ou mais",IF(AND(M87="Sim",O87&lt;&gt;"",O87&gt;=7),"Agarrada há 7 dias, escalar",IF(AND(I87&lt;&gt;"",J87=""),"Próximo passo sem data",""))))))</f>
        <v/>
      </c>
    </row>
    <row r="88" customFormat="false" ht="15" hidden="false" customHeight="false" outlineLevel="0" collapsed="false">
      <c r="A88" s="21"/>
      <c r="B88" s="17"/>
      <c r="C88" s="17"/>
      <c r="D88" s="19"/>
      <c r="E88" s="20"/>
      <c r="F88" s="20"/>
      <c r="G88" s="20"/>
      <c r="H88" s="20"/>
      <c r="I88" s="17"/>
      <c r="J88" s="21"/>
      <c r="K88" s="20"/>
      <c r="L88" s="17"/>
      <c r="M88" s="20"/>
      <c r="N88" s="20"/>
      <c r="O88" s="17"/>
      <c r="P88" s="22" t="str">
        <f aca="false">IF(C88="","",IF(AND(M88="Sim",N88=""),"Agarrada sem motivo declarado",IF(AND(H88="Sim",I88=""),"Traciona hoje sem próximo passo",IF(AND(O88&lt;&gt;"",O88&gt;=14),"Parada há 14 dias ou mais",IF(AND(M88="Sim",O88&lt;&gt;"",O88&gt;=7),"Agarrada há 7 dias, escalar",IF(AND(I88&lt;&gt;"",J88=""),"Próximo passo sem data",""))))))</f>
        <v/>
      </c>
    </row>
    <row r="89" customFormat="false" ht="15" hidden="false" customHeight="false" outlineLevel="0" collapsed="false">
      <c r="A89" s="21"/>
      <c r="B89" s="17"/>
      <c r="C89" s="17"/>
      <c r="D89" s="19"/>
      <c r="E89" s="20"/>
      <c r="F89" s="20"/>
      <c r="G89" s="20"/>
      <c r="H89" s="20"/>
      <c r="I89" s="17"/>
      <c r="J89" s="21"/>
      <c r="K89" s="20"/>
      <c r="L89" s="17"/>
      <c r="M89" s="20"/>
      <c r="N89" s="20"/>
      <c r="O89" s="17"/>
      <c r="P89" s="22" t="str">
        <f aca="false">IF(C89="","",IF(AND(M89="Sim",N89=""),"Agarrada sem motivo declarado",IF(AND(H89="Sim",I89=""),"Traciona hoje sem próximo passo",IF(AND(O89&lt;&gt;"",O89&gt;=14),"Parada há 14 dias ou mais",IF(AND(M89="Sim",O89&lt;&gt;"",O89&gt;=7),"Agarrada há 7 dias, escalar",IF(AND(I89&lt;&gt;"",J89=""),"Próximo passo sem data",""))))))</f>
        <v/>
      </c>
    </row>
    <row r="90" customFormat="false" ht="15" hidden="false" customHeight="false" outlineLevel="0" collapsed="false">
      <c r="A90" s="21"/>
      <c r="B90" s="17"/>
      <c r="C90" s="17"/>
      <c r="D90" s="19"/>
      <c r="E90" s="20"/>
      <c r="F90" s="20"/>
      <c r="G90" s="20"/>
      <c r="H90" s="20"/>
      <c r="I90" s="17"/>
      <c r="J90" s="21"/>
      <c r="K90" s="20"/>
      <c r="L90" s="17"/>
      <c r="M90" s="20"/>
      <c r="N90" s="20"/>
      <c r="O90" s="17"/>
      <c r="P90" s="22" t="str">
        <f aca="false">IF(C90="","",IF(AND(M90="Sim",N90=""),"Agarrada sem motivo declarado",IF(AND(H90="Sim",I90=""),"Traciona hoje sem próximo passo",IF(AND(O90&lt;&gt;"",O90&gt;=14),"Parada há 14 dias ou mais",IF(AND(M90="Sim",O90&lt;&gt;"",O90&gt;=7),"Agarrada há 7 dias, escalar",IF(AND(I90&lt;&gt;"",J90=""),"Próximo passo sem data",""))))))</f>
        <v/>
      </c>
    </row>
    <row r="91" customFormat="false" ht="15" hidden="false" customHeight="false" outlineLevel="0" collapsed="false">
      <c r="A91" s="21"/>
      <c r="B91" s="17"/>
      <c r="C91" s="17"/>
      <c r="D91" s="19"/>
      <c r="E91" s="20"/>
      <c r="F91" s="20"/>
      <c r="G91" s="20"/>
      <c r="H91" s="20"/>
      <c r="I91" s="17"/>
      <c r="J91" s="21"/>
      <c r="K91" s="20"/>
      <c r="L91" s="17"/>
      <c r="M91" s="20"/>
      <c r="N91" s="20"/>
      <c r="O91" s="17"/>
      <c r="P91" s="22" t="str">
        <f aca="false">IF(C91="","",IF(AND(M91="Sim",N91=""),"Agarrada sem motivo declarado",IF(AND(H91="Sim",I91=""),"Traciona hoje sem próximo passo",IF(AND(O91&lt;&gt;"",O91&gt;=14),"Parada há 14 dias ou mais",IF(AND(M91="Sim",O91&lt;&gt;"",O91&gt;=7),"Agarrada há 7 dias, escalar",IF(AND(I91&lt;&gt;"",J91=""),"Próximo passo sem data",""))))))</f>
        <v/>
      </c>
    </row>
    <row r="92" customFormat="false" ht="15" hidden="false" customHeight="false" outlineLevel="0" collapsed="false">
      <c r="A92" s="21"/>
      <c r="B92" s="17"/>
      <c r="C92" s="17"/>
      <c r="D92" s="19"/>
      <c r="E92" s="20"/>
      <c r="F92" s="20"/>
      <c r="G92" s="20"/>
      <c r="H92" s="20"/>
      <c r="I92" s="17"/>
      <c r="J92" s="21"/>
      <c r="K92" s="20"/>
      <c r="L92" s="17"/>
      <c r="M92" s="20"/>
      <c r="N92" s="20"/>
      <c r="O92" s="17"/>
      <c r="P92" s="22" t="str">
        <f aca="false">IF(C92="","",IF(AND(M92="Sim",N92=""),"Agarrada sem motivo declarado",IF(AND(H92="Sim",I92=""),"Traciona hoje sem próximo passo",IF(AND(O92&lt;&gt;"",O92&gt;=14),"Parada há 14 dias ou mais",IF(AND(M92="Sim",O92&lt;&gt;"",O92&gt;=7),"Agarrada há 7 dias, escalar",IF(AND(I92&lt;&gt;"",J92=""),"Próximo passo sem data",""))))))</f>
        <v/>
      </c>
    </row>
    <row r="93" customFormat="false" ht="15" hidden="false" customHeight="false" outlineLevel="0" collapsed="false">
      <c r="A93" s="21"/>
      <c r="B93" s="17"/>
      <c r="C93" s="17"/>
      <c r="D93" s="19"/>
      <c r="E93" s="20"/>
      <c r="F93" s="20"/>
      <c r="G93" s="20"/>
      <c r="H93" s="20"/>
      <c r="I93" s="17"/>
      <c r="J93" s="21"/>
      <c r="K93" s="20"/>
      <c r="L93" s="17"/>
      <c r="M93" s="20"/>
      <c r="N93" s="20"/>
      <c r="O93" s="17"/>
      <c r="P93" s="22" t="str">
        <f aca="false">IF(C93="","",IF(AND(M93="Sim",N93=""),"Agarrada sem motivo declarado",IF(AND(H93="Sim",I93=""),"Traciona hoje sem próximo passo",IF(AND(O93&lt;&gt;"",O93&gt;=14),"Parada há 14 dias ou mais",IF(AND(M93="Sim",O93&lt;&gt;"",O93&gt;=7),"Agarrada há 7 dias, escalar",IF(AND(I93&lt;&gt;"",J93=""),"Próximo passo sem data",""))))))</f>
        <v/>
      </c>
    </row>
    <row r="94" customFormat="false" ht="15" hidden="false" customHeight="false" outlineLevel="0" collapsed="false">
      <c r="A94" s="21"/>
      <c r="B94" s="17"/>
      <c r="C94" s="17"/>
      <c r="D94" s="19"/>
      <c r="E94" s="20"/>
      <c r="F94" s="20"/>
      <c r="G94" s="20"/>
      <c r="H94" s="20"/>
      <c r="I94" s="17"/>
      <c r="J94" s="21"/>
      <c r="K94" s="20"/>
      <c r="L94" s="17"/>
      <c r="M94" s="20"/>
      <c r="N94" s="20"/>
      <c r="O94" s="17"/>
      <c r="P94" s="22" t="str">
        <f aca="false">IF(C94="","",IF(AND(M94="Sim",N94=""),"Agarrada sem motivo declarado",IF(AND(H94="Sim",I94=""),"Traciona hoje sem próximo passo",IF(AND(O94&lt;&gt;"",O94&gt;=14),"Parada há 14 dias ou mais",IF(AND(M94="Sim",O94&lt;&gt;"",O94&gt;=7),"Agarrada há 7 dias, escalar",IF(AND(I94&lt;&gt;"",J94=""),"Próximo passo sem data",""))))))</f>
        <v/>
      </c>
    </row>
    <row r="95" customFormat="false" ht="15" hidden="false" customHeight="false" outlineLevel="0" collapsed="false">
      <c r="A95" s="21"/>
      <c r="B95" s="17"/>
      <c r="C95" s="17"/>
      <c r="D95" s="19"/>
      <c r="E95" s="20"/>
      <c r="F95" s="20"/>
      <c r="G95" s="20"/>
      <c r="H95" s="20"/>
      <c r="I95" s="17"/>
      <c r="J95" s="21"/>
      <c r="K95" s="20"/>
      <c r="L95" s="17"/>
      <c r="M95" s="20"/>
      <c r="N95" s="20"/>
      <c r="O95" s="17"/>
      <c r="P95" s="22" t="str">
        <f aca="false">IF(C95="","",IF(AND(M95="Sim",N95=""),"Agarrada sem motivo declarado",IF(AND(H95="Sim",I95=""),"Traciona hoje sem próximo passo",IF(AND(O95&lt;&gt;"",O95&gt;=14),"Parada há 14 dias ou mais",IF(AND(M95="Sim",O95&lt;&gt;"",O95&gt;=7),"Agarrada há 7 dias, escalar",IF(AND(I95&lt;&gt;"",J95=""),"Próximo passo sem data",""))))))</f>
        <v/>
      </c>
    </row>
    <row r="96" customFormat="false" ht="15" hidden="false" customHeight="false" outlineLevel="0" collapsed="false">
      <c r="A96" s="21"/>
      <c r="B96" s="17"/>
      <c r="C96" s="17"/>
      <c r="D96" s="19"/>
      <c r="E96" s="20"/>
      <c r="F96" s="20"/>
      <c r="G96" s="20"/>
      <c r="H96" s="20"/>
      <c r="I96" s="17"/>
      <c r="J96" s="21"/>
      <c r="K96" s="20"/>
      <c r="L96" s="17"/>
      <c r="M96" s="20"/>
      <c r="N96" s="20"/>
      <c r="O96" s="17"/>
      <c r="P96" s="22" t="str">
        <f aca="false">IF(C96="","",IF(AND(M96="Sim",N96=""),"Agarrada sem motivo declarado",IF(AND(H96="Sim",I96=""),"Traciona hoje sem próximo passo",IF(AND(O96&lt;&gt;"",O96&gt;=14),"Parada há 14 dias ou mais",IF(AND(M96="Sim",O96&lt;&gt;"",O96&gt;=7),"Agarrada há 7 dias, escalar",IF(AND(I96&lt;&gt;"",J96=""),"Próximo passo sem data",""))))))</f>
        <v/>
      </c>
    </row>
    <row r="97" customFormat="false" ht="15" hidden="false" customHeight="false" outlineLevel="0" collapsed="false">
      <c r="A97" s="21"/>
      <c r="B97" s="17"/>
      <c r="C97" s="17"/>
      <c r="D97" s="19"/>
      <c r="E97" s="20"/>
      <c r="F97" s="20"/>
      <c r="G97" s="20"/>
      <c r="H97" s="20"/>
      <c r="I97" s="17"/>
      <c r="J97" s="21"/>
      <c r="K97" s="20"/>
      <c r="L97" s="17"/>
      <c r="M97" s="20"/>
      <c r="N97" s="20"/>
      <c r="O97" s="17"/>
      <c r="P97" s="22" t="str">
        <f aca="false">IF(C97="","",IF(AND(M97="Sim",N97=""),"Agarrada sem motivo declarado",IF(AND(H97="Sim",I97=""),"Traciona hoje sem próximo passo",IF(AND(O97&lt;&gt;"",O97&gt;=14),"Parada há 14 dias ou mais",IF(AND(M97="Sim",O97&lt;&gt;"",O97&gt;=7),"Agarrada há 7 dias, escalar",IF(AND(I97&lt;&gt;"",J97=""),"Próximo passo sem data",""))))))</f>
        <v/>
      </c>
    </row>
    <row r="98" customFormat="false" ht="15" hidden="false" customHeight="false" outlineLevel="0" collapsed="false">
      <c r="A98" s="21"/>
      <c r="B98" s="17"/>
      <c r="C98" s="17"/>
      <c r="D98" s="19"/>
      <c r="E98" s="20"/>
      <c r="F98" s="20"/>
      <c r="G98" s="20"/>
      <c r="H98" s="20"/>
      <c r="I98" s="17"/>
      <c r="J98" s="21"/>
      <c r="K98" s="20"/>
      <c r="L98" s="17"/>
      <c r="M98" s="20"/>
      <c r="N98" s="20"/>
      <c r="O98" s="17"/>
      <c r="P98" s="22" t="str">
        <f aca="false">IF(C98="","",IF(AND(M98="Sim",N98=""),"Agarrada sem motivo declarado",IF(AND(H98="Sim",I98=""),"Traciona hoje sem próximo passo",IF(AND(O98&lt;&gt;"",O98&gt;=14),"Parada há 14 dias ou mais",IF(AND(M98="Sim",O98&lt;&gt;"",O98&gt;=7),"Agarrada há 7 dias, escalar",IF(AND(I98&lt;&gt;"",J98=""),"Próximo passo sem data",""))))))</f>
        <v/>
      </c>
    </row>
    <row r="99" customFormat="false" ht="15" hidden="false" customHeight="false" outlineLevel="0" collapsed="false">
      <c r="A99" s="21"/>
      <c r="B99" s="17"/>
      <c r="C99" s="17"/>
      <c r="D99" s="19"/>
      <c r="E99" s="20"/>
      <c r="F99" s="20"/>
      <c r="G99" s="20"/>
      <c r="H99" s="20"/>
      <c r="I99" s="17"/>
      <c r="J99" s="21"/>
      <c r="K99" s="20"/>
      <c r="L99" s="17"/>
      <c r="M99" s="20"/>
      <c r="N99" s="20"/>
      <c r="O99" s="17"/>
      <c r="P99" s="22" t="str">
        <f aca="false">IF(C99="","",IF(AND(M99="Sim",N99=""),"Agarrada sem motivo declarado",IF(AND(H99="Sim",I99=""),"Traciona hoje sem próximo passo",IF(AND(O99&lt;&gt;"",O99&gt;=14),"Parada há 14 dias ou mais",IF(AND(M99="Sim",O99&lt;&gt;"",O99&gt;=7),"Agarrada há 7 dias, escalar",IF(AND(I99&lt;&gt;"",J99=""),"Próximo passo sem data",""))))))</f>
        <v/>
      </c>
    </row>
    <row r="100" customFormat="false" ht="15" hidden="false" customHeight="false" outlineLevel="0" collapsed="false">
      <c r="A100" s="21"/>
      <c r="B100" s="17"/>
      <c r="C100" s="17"/>
      <c r="D100" s="19"/>
      <c r="E100" s="20"/>
      <c r="F100" s="20"/>
      <c r="G100" s="20"/>
      <c r="H100" s="20"/>
      <c r="I100" s="17"/>
      <c r="J100" s="21"/>
      <c r="K100" s="20"/>
      <c r="L100" s="17"/>
      <c r="M100" s="20"/>
      <c r="N100" s="20"/>
      <c r="O100" s="17"/>
      <c r="P100" s="22" t="str">
        <f aca="false">IF(C100="","",IF(AND(M100="Sim",N100=""),"Agarrada sem motivo declarado",IF(AND(H100="Sim",I100=""),"Traciona hoje sem próximo passo",IF(AND(O100&lt;&gt;"",O100&gt;=14),"Parada há 14 dias ou mais",IF(AND(M100="Sim",O100&lt;&gt;"",O100&gt;=7),"Agarrada há 7 dias, escalar",IF(AND(I100&lt;&gt;"",J100=""),"Próximo passo sem data",""))))))</f>
        <v/>
      </c>
    </row>
    <row r="101" customFormat="false" ht="15" hidden="false" customHeight="false" outlineLevel="0" collapsed="false">
      <c r="A101" s="21"/>
      <c r="B101" s="17"/>
      <c r="C101" s="17"/>
      <c r="D101" s="19"/>
      <c r="E101" s="20"/>
      <c r="F101" s="20"/>
      <c r="G101" s="20"/>
      <c r="H101" s="20"/>
      <c r="I101" s="17"/>
      <c r="J101" s="21"/>
      <c r="K101" s="20"/>
      <c r="L101" s="17"/>
      <c r="M101" s="20"/>
      <c r="N101" s="20"/>
      <c r="O101" s="17"/>
      <c r="P101" s="22" t="str">
        <f aca="false">IF(C101="","",IF(AND(M101="Sim",N101=""),"Agarrada sem motivo declarado",IF(AND(H101="Sim",I101=""),"Traciona hoje sem próximo passo",IF(AND(O101&lt;&gt;"",O101&gt;=14),"Parada há 14 dias ou mais",IF(AND(M101="Sim",O101&lt;&gt;"",O101&gt;=7),"Agarrada há 7 dias, escalar",IF(AND(I101&lt;&gt;"",J101=""),"Próximo passo sem data",""))))))</f>
        <v/>
      </c>
    </row>
    <row r="102" customFormat="false" ht="15" hidden="false" customHeight="false" outlineLevel="0" collapsed="false">
      <c r="A102" s="21"/>
      <c r="B102" s="17"/>
      <c r="C102" s="17"/>
      <c r="D102" s="19"/>
      <c r="E102" s="20"/>
      <c r="F102" s="20"/>
      <c r="G102" s="20"/>
      <c r="H102" s="20"/>
      <c r="I102" s="17"/>
      <c r="J102" s="21"/>
      <c r="K102" s="20"/>
      <c r="L102" s="17"/>
      <c r="M102" s="20"/>
      <c r="N102" s="20"/>
      <c r="O102" s="17"/>
      <c r="P102" s="22" t="str">
        <f aca="false">IF(C102="","",IF(AND(M102="Sim",N102=""),"Agarrada sem motivo declarado",IF(AND(H102="Sim",I102=""),"Traciona hoje sem próximo passo",IF(AND(O102&lt;&gt;"",O102&gt;=14),"Parada há 14 dias ou mais",IF(AND(M102="Sim",O102&lt;&gt;"",O102&gt;=7),"Agarrada há 7 dias, escalar",IF(AND(I102&lt;&gt;"",J102=""),"Próximo passo sem data",""))))))</f>
        <v/>
      </c>
    </row>
    <row r="103" customFormat="false" ht="15" hidden="false" customHeight="false" outlineLevel="0" collapsed="false">
      <c r="A103" s="21"/>
      <c r="B103" s="17"/>
      <c r="C103" s="17"/>
      <c r="D103" s="19"/>
      <c r="E103" s="20"/>
      <c r="F103" s="20"/>
      <c r="G103" s="20"/>
      <c r="H103" s="20"/>
      <c r="I103" s="17"/>
      <c r="J103" s="21"/>
      <c r="K103" s="20"/>
      <c r="L103" s="17"/>
      <c r="M103" s="20"/>
      <c r="N103" s="20"/>
      <c r="O103" s="17"/>
      <c r="P103" s="22" t="str">
        <f aca="false">IF(C103="","",IF(AND(M103="Sim",N103=""),"Agarrada sem motivo declarado",IF(AND(H103="Sim",I103=""),"Traciona hoje sem próximo passo",IF(AND(O103&lt;&gt;"",O103&gt;=14),"Parada há 14 dias ou mais",IF(AND(M103="Sim",O103&lt;&gt;"",O103&gt;=7),"Agarrada há 7 dias, escalar",IF(AND(I103&lt;&gt;"",J103=""),"Próximo passo sem data",""))))))</f>
        <v/>
      </c>
    </row>
    <row r="104" customFormat="false" ht="15" hidden="false" customHeight="false" outlineLevel="0" collapsed="false">
      <c r="A104" s="21"/>
      <c r="B104" s="17"/>
      <c r="C104" s="17"/>
      <c r="D104" s="19"/>
      <c r="E104" s="20"/>
      <c r="F104" s="20"/>
      <c r="G104" s="20"/>
      <c r="H104" s="20"/>
      <c r="I104" s="17"/>
      <c r="J104" s="21"/>
      <c r="K104" s="20"/>
      <c r="L104" s="17"/>
      <c r="M104" s="20"/>
      <c r="N104" s="20"/>
      <c r="O104" s="17"/>
      <c r="P104" s="22" t="str">
        <f aca="false">IF(C104="","",IF(AND(M104="Sim",N104=""),"Agarrada sem motivo declarado",IF(AND(H104="Sim",I104=""),"Traciona hoje sem próximo passo",IF(AND(O104&lt;&gt;"",O104&gt;=14),"Parada há 14 dias ou mais",IF(AND(M104="Sim",O104&lt;&gt;"",O104&gt;=7),"Agarrada há 7 dias, escalar",IF(AND(I104&lt;&gt;"",J104=""),"Próximo passo sem data",""))))))</f>
        <v/>
      </c>
    </row>
    <row r="105" customFormat="false" ht="15" hidden="false" customHeight="false" outlineLevel="0" collapsed="false">
      <c r="A105" s="21"/>
      <c r="B105" s="17"/>
      <c r="C105" s="17"/>
      <c r="D105" s="19"/>
      <c r="E105" s="20"/>
      <c r="F105" s="20"/>
      <c r="G105" s="20"/>
      <c r="H105" s="20"/>
      <c r="I105" s="17"/>
      <c r="J105" s="21"/>
      <c r="K105" s="20"/>
      <c r="L105" s="17"/>
      <c r="M105" s="20"/>
      <c r="N105" s="20"/>
      <c r="O105" s="17"/>
      <c r="P105" s="22" t="str">
        <f aca="false">IF(C105="","",IF(AND(M105="Sim",N105=""),"Agarrada sem motivo declarado",IF(AND(H105="Sim",I105=""),"Traciona hoje sem próximo passo",IF(AND(O105&lt;&gt;"",O105&gt;=14),"Parada há 14 dias ou mais",IF(AND(M105="Sim",O105&lt;&gt;"",O105&gt;=7),"Agarrada há 7 dias, escalar",IF(AND(I105&lt;&gt;"",J105=""),"Próximo passo sem data",""))))))</f>
        <v/>
      </c>
    </row>
    <row r="106" customFormat="false" ht="15" hidden="false" customHeight="false" outlineLevel="0" collapsed="false">
      <c r="A106" s="21"/>
      <c r="B106" s="17"/>
      <c r="C106" s="17"/>
      <c r="D106" s="19"/>
      <c r="E106" s="20"/>
      <c r="F106" s="20"/>
      <c r="G106" s="20"/>
      <c r="H106" s="20"/>
      <c r="I106" s="17"/>
      <c r="J106" s="21"/>
      <c r="K106" s="20"/>
      <c r="L106" s="17"/>
      <c r="M106" s="20"/>
      <c r="N106" s="20"/>
      <c r="O106" s="17"/>
      <c r="P106" s="22" t="str">
        <f aca="false">IF(C106="","",IF(AND(M106="Sim",N106=""),"Agarrada sem motivo declarado",IF(AND(H106="Sim",I106=""),"Traciona hoje sem próximo passo",IF(AND(O106&lt;&gt;"",O106&gt;=14),"Parada há 14 dias ou mais",IF(AND(M106="Sim",O106&lt;&gt;"",O106&gt;=7),"Agarrada há 7 dias, escalar",IF(AND(I106&lt;&gt;"",J106=""),"Próximo passo sem data",""))))))</f>
        <v/>
      </c>
    </row>
    <row r="107" customFormat="false" ht="15" hidden="false" customHeight="false" outlineLevel="0" collapsed="false">
      <c r="A107" s="21"/>
      <c r="B107" s="17"/>
      <c r="C107" s="17"/>
      <c r="D107" s="19"/>
      <c r="E107" s="20"/>
      <c r="F107" s="20"/>
      <c r="G107" s="20"/>
      <c r="H107" s="20"/>
      <c r="I107" s="17"/>
      <c r="J107" s="21"/>
      <c r="K107" s="20"/>
      <c r="L107" s="17"/>
      <c r="M107" s="20"/>
      <c r="N107" s="20"/>
      <c r="O107" s="17"/>
      <c r="P107" s="22" t="str">
        <f aca="false">IF(C107="","",IF(AND(M107="Sim",N107=""),"Agarrada sem motivo declarado",IF(AND(H107="Sim",I107=""),"Traciona hoje sem próximo passo",IF(AND(O107&lt;&gt;"",O107&gt;=14),"Parada há 14 dias ou mais",IF(AND(M107="Sim",O107&lt;&gt;"",O107&gt;=7),"Agarrada há 7 dias, escalar",IF(AND(I107&lt;&gt;"",J107=""),"Próximo passo sem data",""))))))</f>
        <v/>
      </c>
    </row>
    <row r="108" customFormat="false" ht="15" hidden="false" customHeight="false" outlineLevel="0" collapsed="false">
      <c r="A108" s="21"/>
      <c r="B108" s="17"/>
      <c r="C108" s="17"/>
      <c r="D108" s="19"/>
      <c r="E108" s="20"/>
      <c r="F108" s="20"/>
      <c r="G108" s="20"/>
      <c r="H108" s="20"/>
      <c r="I108" s="17"/>
      <c r="J108" s="21"/>
      <c r="K108" s="20"/>
      <c r="L108" s="17"/>
      <c r="M108" s="20"/>
      <c r="N108" s="20"/>
      <c r="O108" s="17"/>
      <c r="P108" s="22" t="str">
        <f aca="false">IF(C108="","",IF(AND(M108="Sim",N108=""),"Agarrada sem motivo declarado",IF(AND(H108="Sim",I108=""),"Traciona hoje sem próximo passo",IF(AND(O108&lt;&gt;"",O108&gt;=14),"Parada há 14 dias ou mais",IF(AND(M108="Sim",O108&lt;&gt;"",O108&gt;=7),"Agarrada há 7 dias, escalar",IF(AND(I108&lt;&gt;"",J108=""),"Próximo passo sem data",""))))))</f>
        <v/>
      </c>
    </row>
    <row r="109" customFormat="false" ht="15" hidden="false" customHeight="false" outlineLevel="0" collapsed="false">
      <c r="A109" s="21"/>
      <c r="B109" s="17"/>
      <c r="C109" s="17"/>
      <c r="D109" s="19"/>
      <c r="E109" s="20"/>
      <c r="F109" s="20"/>
      <c r="G109" s="20"/>
      <c r="H109" s="20"/>
      <c r="I109" s="17"/>
      <c r="J109" s="21"/>
      <c r="K109" s="20"/>
      <c r="L109" s="17"/>
      <c r="M109" s="20"/>
      <c r="N109" s="20"/>
      <c r="O109" s="17"/>
      <c r="P109" s="22" t="str">
        <f aca="false">IF(C109="","",IF(AND(M109="Sim",N109=""),"Agarrada sem motivo declarado",IF(AND(H109="Sim",I109=""),"Traciona hoje sem próximo passo",IF(AND(O109&lt;&gt;"",O109&gt;=14),"Parada há 14 dias ou mais",IF(AND(M109="Sim",O109&lt;&gt;"",O109&gt;=7),"Agarrada há 7 dias, escalar",IF(AND(I109&lt;&gt;"",J109=""),"Próximo passo sem data",""))))))</f>
        <v/>
      </c>
    </row>
    <row r="110" customFormat="false" ht="15" hidden="false" customHeight="false" outlineLevel="0" collapsed="false">
      <c r="A110" s="21"/>
      <c r="B110" s="17"/>
      <c r="C110" s="17"/>
      <c r="D110" s="19"/>
      <c r="E110" s="20"/>
      <c r="F110" s="20"/>
      <c r="G110" s="20"/>
      <c r="H110" s="20"/>
      <c r="I110" s="17"/>
      <c r="J110" s="21"/>
      <c r="K110" s="20"/>
      <c r="L110" s="17"/>
      <c r="M110" s="20"/>
      <c r="N110" s="20"/>
      <c r="O110" s="17"/>
      <c r="P110" s="22" t="str">
        <f aca="false">IF(C110="","",IF(AND(M110="Sim",N110=""),"Agarrada sem motivo declarado",IF(AND(H110="Sim",I110=""),"Traciona hoje sem próximo passo",IF(AND(O110&lt;&gt;"",O110&gt;=14),"Parada há 14 dias ou mais",IF(AND(M110="Sim",O110&lt;&gt;"",O110&gt;=7),"Agarrada há 7 dias, escalar",IF(AND(I110&lt;&gt;"",J110=""),"Próximo passo sem data",""))))))</f>
        <v/>
      </c>
    </row>
    <row r="111" customFormat="false" ht="15" hidden="false" customHeight="false" outlineLevel="0" collapsed="false">
      <c r="A111" s="21"/>
      <c r="B111" s="17"/>
      <c r="C111" s="17"/>
      <c r="D111" s="19"/>
      <c r="E111" s="20"/>
      <c r="F111" s="20"/>
      <c r="G111" s="20"/>
      <c r="H111" s="20"/>
      <c r="I111" s="17"/>
      <c r="J111" s="21"/>
      <c r="K111" s="20"/>
      <c r="L111" s="17"/>
      <c r="M111" s="20"/>
      <c r="N111" s="20"/>
      <c r="O111" s="17"/>
      <c r="P111" s="22" t="str">
        <f aca="false">IF(C111="","",IF(AND(M111="Sim",N111=""),"Agarrada sem motivo declarado",IF(AND(H111="Sim",I111=""),"Traciona hoje sem próximo passo",IF(AND(O111&lt;&gt;"",O111&gt;=14),"Parada há 14 dias ou mais",IF(AND(M111="Sim",O111&lt;&gt;"",O111&gt;=7),"Agarrada há 7 dias, escalar",IF(AND(I111&lt;&gt;"",J111=""),"Próximo passo sem data",""))))))</f>
        <v/>
      </c>
    </row>
    <row r="112" customFormat="false" ht="15" hidden="false" customHeight="false" outlineLevel="0" collapsed="false">
      <c r="A112" s="21"/>
      <c r="B112" s="17"/>
      <c r="C112" s="17"/>
      <c r="D112" s="19"/>
      <c r="E112" s="20"/>
      <c r="F112" s="20"/>
      <c r="G112" s="20"/>
      <c r="H112" s="20"/>
      <c r="I112" s="17"/>
      <c r="J112" s="21"/>
      <c r="K112" s="20"/>
      <c r="L112" s="17"/>
      <c r="M112" s="20"/>
      <c r="N112" s="20"/>
      <c r="O112" s="17"/>
      <c r="P112" s="22" t="str">
        <f aca="false">IF(C112="","",IF(AND(M112="Sim",N112=""),"Agarrada sem motivo declarado",IF(AND(H112="Sim",I112=""),"Traciona hoje sem próximo passo",IF(AND(O112&lt;&gt;"",O112&gt;=14),"Parada há 14 dias ou mais",IF(AND(M112="Sim",O112&lt;&gt;"",O112&gt;=7),"Agarrada há 7 dias, escalar",IF(AND(I112&lt;&gt;"",J112=""),"Próximo passo sem data",""))))))</f>
        <v/>
      </c>
    </row>
    <row r="113" customFormat="false" ht="15" hidden="false" customHeight="false" outlineLevel="0" collapsed="false">
      <c r="A113" s="21"/>
      <c r="B113" s="17"/>
      <c r="C113" s="17"/>
      <c r="D113" s="19"/>
      <c r="E113" s="20"/>
      <c r="F113" s="20"/>
      <c r="G113" s="20"/>
      <c r="H113" s="20"/>
      <c r="I113" s="17"/>
      <c r="J113" s="21"/>
      <c r="K113" s="20"/>
      <c r="L113" s="17"/>
      <c r="M113" s="20"/>
      <c r="N113" s="20"/>
      <c r="O113" s="17"/>
      <c r="P113" s="22" t="str">
        <f aca="false">IF(C113="","",IF(AND(M113="Sim",N113=""),"Agarrada sem motivo declarado",IF(AND(H113="Sim",I113=""),"Traciona hoje sem próximo passo",IF(AND(O113&lt;&gt;"",O113&gt;=14),"Parada há 14 dias ou mais",IF(AND(M113="Sim",O113&lt;&gt;"",O113&gt;=7),"Agarrada há 7 dias, escalar",IF(AND(I113&lt;&gt;"",J113=""),"Próximo passo sem data",""))))))</f>
        <v/>
      </c>
    </row>
    <row r="114" customFormat="false" ht="15" hidden="false" customHeight="false" outlineLevel="0" collapsed="false">
      <c r="A114" s="21"/>
      <c r="B114" s="17"/>
      <c r="C114" s="17"/>
      <c r="D114" s="19"/>
      <c r="E114" s="20"/>
      <c r="F114" s="20"/>
      <c r="G114" s="20"/>
      <c r="H114" s="20"/>
      <c r="I114" s="17"/>
      <c r="J114" s="21"/>
      <c r="K114" s="20"/>
      <c r="L114" s="17"/>
      <c r="M114" s="20"/>
      <c r="N114" s="20"/>
      <c r="O114" s="17"/>
      <c r="P114" s="22" t="str">
        <f aca="false">IF(C114="","",IF(AND(M114="Sim",N114=""),"Agarrada sem motivo declarado",IF(AND(H114="Sim",I114=""),"Traciona hoje sem próximo passo",IF(AND(O114&lt;&gt;"",O114&gt;=14),"Parada há 14 dias ou mais",IF(AND(M114="Sim",O114&lt;&gt;"",O114&gt;=7),"Agarrada há 7 dias, escalar",IF(AND(I114&lt;&gt;"",J114=""),"Próximo passo sem data",""))))))</f>
        <v/>
      </c>
    </row>
    <row r="115" customFormat="false" ht="15" hidden="false" customHeight="false" outlineLevel="0" collapsed="false">
      <c r="A115" s="21"/>
      <c r="B115" s="17"/>
      <c r="C115" s="17"/>
      <c r="D115" s="19"/>
      <c r="E115" s="20"/>
      <c r="F115" s="20"/>
      <c r="G115" s="20"/>
      <c r="H115" s="20"/>
      <c r="I115" s="17"/>
      <c r="J115" s="21"/>
      <c r="K115" s="20"/>
      <c r="L115" s="17"/>
      <c r="M115" s="20"/>
      <c r="N115" s="20"/>
      <c r="O115" s="17"/>
      <c r="P115" s="22" t="str">
        <f aca="false">IF(C115="","",IF(AND(M115="Sim",N115=""),"Agarrada sem motivo declarado",IF(AND(H115="Sim",I115=""),"Traciona hoje sem próximo passo",IF(AND(O115&lt;&gt;"",O115&gt;=14),"Parada há 14 dias ou mais",IF(AND(M115="Sim",O115&lt;&gt;"",O115&gt;=7),"Agarrada há 7 dias, escalar",IF(AND(I115&lt;&gt;"",J115=""),"Próximo passo sem data",""))))))</f>
        <v/>
      </c>
    </row>
    <row r="116" customFormat="false" ht="15" hidden="false" customHeight="false" outlineLevel="0" collapsed="false">
      <c r="A116" s="21"/>
      <c r="B116" s="17"/>
      <c r="C116" s="17"/>
      <c r="D116" s="19"/>
      <c r="E116" s="20"/>
      <c r="F116" s="20"/>
      <c r="G116" s="20"/>
      <c r="H116" s="20"/>
      <c r="I116" s="17"/>
      <c r="J116" s="21"/>
      <c r="K116" s="20"/>
      <c r="L116" s="17"/>
      <c r="M116" s="20"/>
      <c r="N116" s="20"/>
      <c r="O116" s="17"/>
      <c r="P116" s="22" t="str">
        <f aca="false">IF(C116="","",IF(AND(M116="Sim",N116=""),"Agarrada sem motivo declarado",IF(AND(H116="Sim",I116=""),"Traciona hoje sem próximo passo",IF(AND(O116&lt;&gt;"",O116&gt;=14),"Parada há 14 dias ou mais",IF(AND(M116="Sim",O116&lt;&gt;"",O116&gt;=7),"Agarrada há 7 dias, escalar",IF(AND(I116&lt;&gt;"",J116=""),"Próximo passo sem data",""))))))</f>
        <v/>
      </c>
    </row>
    <row r="117" customFormat="false" ht="15" hidden="false" customHeight="false" outlineLevel="0" collapsed="false">
      <c r="A117" s="21"/>
      <c r="B117" s="17"/>
      <c r="C117" s="17"/>
      <c r="D117" s="19"/>
      <c r="E117" s="20"/>
      <c r="F117" s="20"/>
      <c r="G117" s="20"/>
      <c r="H117" s="20"/>
      <c r="I117" s="17"/>
      <c r="J117" s="21"/>
      <c r="K117" s="20"/>
      <c r="L117" s="17"/>
      <c r="M117" s="20"/>
      <c r="N117" s="20"/>
      <c r="O117" s="17"/>
      <c r="P117" s="22" t="str">
        <f aca="false">IF(C117="","",IF(AND(M117="Sim",N117=""),"Agarrada sem motivo declarado",IF(AND(H117="Sim",I117=""),"Traciona hoje sem próximo passo",IF(AND(O117&lt;&gt;"",O117&gt;=14),"Parada há 14 dias ou mais",IF(AND(M117="Sim",O117&lt;&gt;"",O117&gt;=7),"Agarrada há 7 dias, escalar",IF(AND(I117&lt;&gt;"",J117=""),"Próximo passo sem data",""))))))</f>
        <v/>
      </c>
    </row>
    <row r="118" customFormat="false" ht="15" hidden="false" customHeight="false" outlineLevel="0" collapsed="false">
      <c r="A118" s="21"/>
      <c r="B118" s="17"/>
      <c r="C118" s="17"/>
      <c r="D118" s="19"/>
      <c r="E118" s="20"/>
      <c r="F118" s="20"/>
      <c r="G118" s="20"/>
      <c r="H118" s="20"/>
      <c r="I118" s="17"/>
      <c r="J118" s="21"/>
      <c r="K118" s="20"/>
      <c r="L118" s="17"/>
      <c r="M118" s="20"/>
      <c r="N118" s="20"/>
      <c r="O118" s="17"/>
      <c r="P118" s="22" t="str">
        <f aca="false">IF(C118="","",IF(AND(M118="Sim",N118=""),"Agarrada sem motivo declarado",IF(AND(H118="Sim",I118=""),"Traciona hoje sem próximo passo",IF(AND(O118&lt;&gt;"",O118&gt;=14),"Parada há 14 dias ou mais",IF(AND(M118="Sim",O118&lt;&gt;"",O118&gt;=7),"Agarrada há 7 dias, escalar",IF(AND(I118&lt;&gt;"",J118=""),"Próximo passo sem data",""))))))</f>
        <v/>
      </c>
    </row>
    <row r="119" customFormat="false" ht="15" hidden="false" customHeight="false" outlineLevel="0" collapsed="false">
      <c r="A119" s="21"/>
      <c r="B119" s="17"/>
      <c r="C119" s="17"/>
      <c r="D119" s="19"/>
      <c r="E119" s="20"/>
      <c r="F119" s="20"/>
      <c r="G119" s="20"/>
      <c r="H119" s="20"/>
      <c r="I119" s="17"/>
      <c r="J119" s="21"/>
      <c r="K119" s="20"/>
      <c r="L119" s="17"/>
      <c r="M119" s="20"/>
      <c r="N119" s="20"/>
      <c r="O119" s="17"/>
      <c r="P119" s="22" t="str">
        <f aca="false">IF(C119="","",IF(AND(M119="Sim",N119=""),"Agarrada sem motivo declarado",IF(AND(H119="Sim",I119=""),"Traciona hoje sem próximo passo",IF(AND(O119&lt;&gt;"",O119&gt;=14),"Parada há 14 dias ou mais",IF(AND(M119="Sim",O119&lt;&gt;"",O119&gt;=7),"Agarrada há 7 dias, escalar",IF(AND(I119&lt;&gt;"",J119=""),"Próximo passo sem data",""))))))</f>
        <v/>
      </c>
    </row>
    <row r="120" customFormat="false" ht="15" hidden="false" customHeight="false" outlineLevel="0" collapsed="false">
      <c r="A120" s="21"/>
      <c r="B120" s="17"/>
      <c r="C120" s="17"/>
      <c r="D120" s="19"/>
      <c r="E120" s="20"/>
      <c r="F120" s="20"/>
      <c r="G120" s="20"/>
      <c r="H120" s="20"/>
      <c r="I120" s="17"/>
      <c r="J120" s="21"/>
      <c r="K120" s="20"/>
      <c r="L120" s="17"/>
      <c r="M120" s="20"/>
      <c r="N120" s="20"/>
      <c r="O120" s="17"/>
      <c r="P120" s="22" t="str">
        <f aca="false">IF(C120="","",IF(AND(M120="Sim",N120=""),"Agarrada sem motivo declarado",IF(AND(H120="Sim",I120=""),"Traciona hoje sem próximo passo",IF(AND(O120&lt;&gt;"",O120&gt;=14),"Parada há 14 dias ou mais",IF(AND(M120="Sim",O120&lt;&gt;"",O120&gt;=7),"Agarrada há 7 dias, escalar",IF(AND(I120&lt;&gt;"",J120=""),"Próximo passo sem data",""))))))</f>
        <v/>
      </c>
    </row>
    <row r="121" customFormat="false" ht="15" hidden="false" customHeight="false" outlineLevel="0" collapsed="false">
      <c r="A121" s="21"/>
      <c r="B121" s="17"/>
      <c r="C121" s="17"/>
      <c r="D121" s="19"/>
      <c r="E121" s="20"/>
      <c r="F121" s="20"/>
      <c r="G121" s="20"/>
      <c r="H121" s="20"/>
      <c r="I121" s="17"/>
      <c r="J121" s="21"/>
      <c r="K121" s="20"/>
      <c r="L121" s="17"/>
      <c r="M121" s="20"/>
      <c r="N121" s="20"/>
      <c r="O121" s="17"/>
      <c r="P121" s="22" t="str">
        <f aca="false">IF(C121="","",IF(AND(M121="Sim",N121=""),"Agarrada sem motivo declarado",IF(AND(H121="Sim",I121=""),"Traciona hoje sem próximo passo",IF(AND(O121&lt;&gt;"",O121&gt;=14),"Parada há 14 dias ou mais",IF(AND(M121="Sim",O121&lt;&gt;"",O121&gt;=7),"Agarrada há 7 dias, escalar",IF(AND(I121&lt;&gt;"",J121=""),"Próximo passo sem data",""))))))</f>
        <v/>
      </c>
    </row>
    <row r="122" customFormat="false" ht="15" hidden="false" customHeight="false" outlineLevel="0" collapsed="false">
      <c r="A122" s="21"/>
      <c r="B122" s="17"/>
      <c r="C122" s="17"/>
      <c r="D122" s="19"/>
      <c r="E122" s="20"/>
      <c r="F122" s="20"/>
      <c r="G122" s="20"/>
      <c r="H122" s="20"/>
      <c r="I122" s="17"/>
      <c r="J122" s="21"/>
      <c r="K122" s="20"/>
      <c r="L122" s="17"/>
      <c r="M122" s="20"/>
      <c r="N122" s="20"/>
      <c r="O122" s="17"/>
      <c r="P122" s="22" t="str">
        <f aca="false">IF(C122="","",IF(AND(M122="Sim",N122=""),"Agarrada sem motivo declarado",IF(AND(H122="Sim",I122=""),"Traciona hoje sem próximo passo",IF(AND(O122&lt;&gt;"",O122&gt;=14),"Parada há 14 dias ou mais",IF(AND(M122="Sim",O122&lt;&gt;"",O122&gt;=7),"Agarrada há 7 dias, escalar",IF(AND(I122&lt;&gt;"",J122=""),"Próximo passo sem data",""))))))</f>
        <v/>
      </c>
    </row>
    <row r="123" customFormat="false" ht="15" hidden="false" customHeight="false" outlineLevel="0" collapsed="false">
      <c r="A123" s="21"/>
      <c r="B123" s="17"/>
      <c r="C123" s="17"/>
      <c r="D123" s="19"/>
      <c r="E123" s="20"/>
      <c r="F123" s="20"/>
      <c r="G123" s="20"/>
      <c r="H123" s="20"/>
      <c r="I123" s="17"/>
      <c r="J123" s="21"/>
      <c r="K123" s="20"/>
      <c r="L123" s="17"/>
      <c r="M123" s="20"/>
      <c r="N123" s="20"/>
      <c r="O123" s="17"/>
      <c r="P123" s="22" t="str">
        <f aca="false">IF(C123="","",IF(AND(M123="Sim",N123=""),"Agarrada sem motivo declarado",IF(AND(H123="Sim",I123=""),"Traciona hoje sem próximo passo",IF(AND(O123&lt;&gt;"",O123&gt;=14),"Parada há 14 dias ou mais",IF(AND(M123="Sim",O123&lt;&gt;"",O123&gt;=7),"Agarrada há 7 dias, escalar",IF(AND(I123&lt;&gt;"",J123=""),"Próximo passo sem data",""))))))</f>
        <v/>
      </c>
    </row>
    <row r="124" customFormat="false" ht="15" hidden="false" customHeight="false" outlineLevel="0" collapsed="false">
      <c r="A124" s="21"/>
      <c r="B124" s="17"/>
      <c r="C124" s="17"/>
      <c r="D124" s="19"/>
      <c r="E124" s="20"/>
      <c r="F124" s="20"/>
      <c r="G124" s="20"/>
      <c r="H124" s="20"/>
      <c r="I124" s="17"/>
      <c r="J124" s="21"/>
      <c r="K124" s="20"/>
      <c r="L124" s="17"/>
      <c r="M124" s="20"/>
      <c r="N124" s="20"/>
      <c r="O124" s="17"/>
      <c r="P124" s="22" t="str">
        <f aca="false">IF(C124="","",IF(AND(M124="Sim",N124=""),"Agarrada sem motivo declarado",IF(AND(H124="Sim",I124=""),"Traciona hoje sem próximo passo",IF(AND(O124&lt;&gt;"",O124&gt;=14),"Parada há 14 dias ou mais",IF(AND(M124="Sim",O124&lt;&gt;"",O124&gt;=7),"Agarrada há 7 dias, escalar",IF(AND(I124&lt;&gt;"",J124=""),"Próximo passo sem data",""))))))</f>
        <v/>
      </c>
    </row>
    <row r="125" customFormat="false" ht="15" hidden="false" customHeight="false" outlineLevel="0" collapsed="false">
      <c r="A125" s="21"/>
      <c r="B125" s="17"/>
      <c r="C125" s="17"/>
      <c r="D125" s="19"/>
      <c r="E125" s="20"/>
      <c r="F125" s="20"/>
      <c r="G125" s="20"/>
      <c r="H125" s="20"/>
      <c r="I125" s="17"/>
      <c r="J125" s="21"/>
      <c r="K125" s="20"/>
      <c r="L125" s="17"/>
      <c r="M125" s="20"/>
      <c r="N125" s="20"/>
      <c r="O125" s="17"/>
      <c r="P125" s="22" t="str">
        <f aca="false">IF(C125="","",IF(AND(M125="Sim",N125=""),"Agarrada sem motivo declarado",IF(AND(H125="Sim",I125=""),"Traciona hoje sem próximo passo",IF(AND(O125&lt;&gt;"",O125&gt;=14),"Parada há 14 dias ou mais",IF(AND(M125="Sim",O125&lt;&gt;"",O125&gt;=7),"Agarrada há 7 dias, escalar",IF(AND(I125&lt;&gt;"",J125=""),"Próximo passo sem data",""))))))</f>
        <v/>
      </c>
    </row>
    <row r="126" customFormat="false" ht="15" hidden="false" customHeight="false" outlineLevel="0" collapsed="false">
      <c r="A126" s="21"/>
      <c r="B126" s="17"/>
      <c r="C126" s="17"/>
      <c r="D126" s="19"/>
      <c r="E126" s="20"/>
      <c r="F126" s="20"/>
      <c r="G126" s="20"/>
      <c r="H126" s="20"/>
      <c r="I126" s="17"/>
      <c r="J126" s="21"/>
      <c r="K126" s="20"/>
      <c r="L126" s="17"/>
      <c r="M126" s="20"/>
      <c r="N126" s="20"/>
      <c r="O126" s="17"/>
      <c r="P126" s="22" t="str">
        <f aca="false">IF(C126="","",IF(AND(M126="Sim",N126=""),"Agarrada sem motivo declarado",IF(AND(H126="Sim",I126=""),"Traciona hoje sem próximo passo",IF(AND(O126&lt;&gt;"",O126&gt;=14),"Parada há 14 dias ou mais",IF(AND(M126="Sim",O126&lt;&gt;"",O126&gt;=7),"Agarrada há 7 dias, escalar",IF(AND(I126&lt;&gt;"",J126=""),"Próximo passo sem data",""))))))</f>
        <v/>
      </c>
    </row>
    <row r="127" customFormat="false" ht="15" hidden="false" customHeight="false" outlineLevel="0" collapsed="false">
      <c r="A127" s="21"/>
      <c r="B127" s="17"/>
      <c r="C127" s="17"/>
      <c r="D127" s="19"/>
      <c r="E127" s="20"/>
      <c r="F127" s="20"/>
      <c r="G127" s="20"/>
      <c r="H127" s="20"/>
      <c r="I127" s="17"/>
      <c r="J127" s="21"/>
      <c r="K127" s="20"/>
      <c r="L127" s="17"/>
      <c r="M127" s="20"/>
      <c r="N127" s="20"/>
      <c r="O127" s="17"/>
      <c r="P127" s="22" t="str">
        <f aca="false">IF(C127="","",IF(AND(M127="Sim",N127=""),"Agarrada sem motivo declarado",IF(AND(H127="Sim",I127=""),"Traciona hoje sem próximo passo",IF(AND(O127&lt;&gt;"",O127&gt;=14),"Parada há 14 dias ou mais",IF(AND(M127="Sim",O127&lt;&gt;"",O127&gt;=7),"Agarrada há 7 dias, escalar",IF(AND(I127&lt;&gt;"",J127=""),"Próximo passo sem data",""))))))</f>
        <v/>
      </c>
    </row>
    <row r="128" customFormat="false" ht="15" hidden="false" customHeight="false" outlineLevel="0" collapsed="false">
      <c r="A128" s="21"/>
      <c r="B128" s="17"/>
      <c r="C128" s="17"/>
      <c r="D128" s="19"/>
      <c r="E128" s="20"/>
      <c r="F128" s="20"/>
      <c r="G128" s="20"/>
      <c r="H128" s="20"/>
      <c r="I128" s="17"/>
      <c r="J128" s="21"/>
      <c r="K128" s="20"/>
      <c r="L128" s="17"/>
      <c r="M128" s="20"/>
      <c r="N128" s="20"/>
      <c r="O128" s="17"/>
      <c r="P128" s="22" t="str">
        <f aca="false">IF(C128="","",IF(AND(M128="Sim",N128=""),"Agarrada sem motivo declarado",IF(AND(H128="Sim",I128=""),"Traciona hoje sem próximo passo",IF(AND(O128&lt;&gt;"",O128&gt;=14),"Parada há 14 dias ou mais",IF(AND(M128="Sim",O128&lt;&gt;"",O128&gt;=7),"Agarrada há 7 dias, escalar",IF(AND(I128&lt;&gt;"",J128=""),"Próximo passo sem data",""))))))</f>
        <v/>
      </c>
    </row>
    <row r="129" customFormat="false" ht="15" hidden="false" customHeight="false" outlineLevel="0" collapsed="false">
      <c r="A129" s="21"/>
      <c r="B129" s="17"/>
      <c r="C129" s="17"/>
      <c r="D129" s="19"/>
      <c r="E129" s="20"/>
      <c r="F129" s="20"/>
      <c r="G129" s="20"/>
      <c r="H129" s="20"/>
      <c r="I129" s="17"/>
      <c r="J129" s="21"/>
      <c r="K129" s="20"/>
      <c r="L129" s="17"/>
      <c r="M129" s="20"/>
      <c r="N129" s="20"/>
      <c r="O129" s="17"/>
      <c r="P129" s="22" t="str">
        <f aca="false">IF(C129="","",IF(AND(M129="Sim",N129=""),"Agarrada sem motivo declarado",IF(AND(H129="Sim",I129=""),"Traciona hoje sem próximo passo",IF(AND(O129&lt;&gt;"",O129&gt;=14),"Parada há 14 dias ou mais",IF(AND(M129="Sim",O129&lt;&gt;"",O129&gt;=7),"Agarrada há 7 dias, escalar",IF(AND(I129&lt;&gt;"",J129=""),"Próximo passo sem data",""))))))</f>
        <v/>
      </c>
    </row>
    <row r="130" customFormat="false" ht="15" hidden="false" customHeight="false" outlineLevel="0" collapsed="false">
      <c r="A130" s="21"/>
      <c r="B130" s="17"/>
      <c r="C130" s="17"/>
      <c r="D130" s="19"/>
      <c r="E130" s="20"/>
      <c r="F130" s="20"/>
      <c r="G130" s="20"/>
      <c r="H130" s="20"/>
      <c r="I130" s="17"/>
      <c r="J130" s="21"/>
      <c r="K130" s="20"/>
      <c r="L130" s="17"/>
      <c r="M130" s="20"/>
      <c r="N130" s="20"/>
      <c r="O130" s="17"/>
      <c r="P130" s="22" t="str">
        <f aca="false">IF(C130="","",IF(AND(M130="Sim",N130=""),"Agarrada sem motivo declarado",IF(AND(H130="Sim",I130=""),"Traciona hoje sem próximo passo",IF(AND(O130&lt;&gt;"",O130&gt;=14),"Parada há 14 dias ou mais",IF(AND(M130="Sim",O130&lt;&gt;"",O130&gt;=7),"Agarrada há 7 dias, escalar",IF(AND(I130&lt;&gt;"",J130=""),"Próximo passo sem data",""))))))</f>
        <v/>
      </c>
    </row>
    <row r="131" customFormat="false" ht="15" hidden="false" customHeight="false" outlineLevel="0" collapsed="false">
      <c r="A131" s="21"/>
      <c r="B131" s="17"/>
      <c r="C131" s="17"/>
      <c r="D131" s="19"/>
      <c r="E131" s="20"/>
      <c r="F131" s="20"/>
      <c r="G131" s="20"/>
      <c r="H131" s="20"/>
      <c r="I131" s="17"/>
      <c r="J131" s="21"/>
      <c r="K131" s="20"/>
      <c r="L131" s="17"/>
      <c r="M131" s="20"/>
      <c r="N131" s="20"/>
      <c r="O131" s="17"/>
      <c r="P131" s="22" t="str">
        <f aca="false">IF(C131="","",IF(AND(M131="Sim",N131=""),"Agarrada sem motivo declarado",IF(AND(H131="Sim",I131=""),"Traciona hoje sem próximo passo",IF(AND(O131&lt;&gt;"",O131&gt;=14),"Parada há 14 dias ou mais",IF(AND(M131="Sim",O131&lt;&gt;"",O131&gt;=7),"Agarrada há 7 dias, escalar",IF(AND(I131&lt;&gt;"",J131=""),"Próximo passo sem data",""))))))</f>
        <v/>
      </c>
    </row>
    <row r="132" customFormat="false" ht="15" hidden="false" customHeight="false" outlineLevel="0" collapsed="false">
      <c r="A132" s="21"/>
      <c r="B132" s="17"/>
      <c r="C132" s="17"/>
      <c r="D132" s="19"/>
      <c r="E132" s="20"/>
      <c r="F132" s="20"/>
      <c r="G132" s="20"/>
      <c r="H132" s="20"/>
      <c r="I132" s="17"/>
      <c r="J132" s="21"/>
      <c r="K132" s="20"/>
      <c r="L132" s="17"/>
      <c r="M132" s="20"/>
      <c r="N132" s="20"/>
      <c r="O132" s="17"/>
      <c r="P132" s="22" t="str">
        <f aca="false">IF(C132="","",IF(AND(M132="Sim",N132=""),"Agarrada sem motivo declarado",IF(AND(H132="Sim",I132=""),"Traciona hoje sem próximo passo",IF(AND(O132&lt;&gt;"",O132&gt;=14),"Parada há 14 dias ou mais",IF(AND(M132="Sim",O132&lt;&gt;"",O132&gt;=7),"Agarrada há 7 dias, escalar",IF(AND(I132&lt;&gt;"",J132=""),"Próximo passo sem data",""))))))</f>
        <v/>
      </c>
    </row>
    <row r="133" customFormat="false" ht="15" hidden="false" customHeight="false" outlineLevel="0" collapsed="false">
      <c r="A133" s="21"/>
      <c r="B133" s="17"/>
      <c r="C133" s="17"/>
      <c r="D133" s="19"/>
      <c r="E133" s="20"/>
      <c r="F133" s="20"/>
      <c r="G133" s="20"/>
      <c r="H133" s="20"/>
      <c r="I133" s="17"/>
      <c r="J133" s="21"/>
      <c r="K133" s="20"/>
      <c r="L133" s="17"/>
      <c r="M133" s="20"/>
      <c r="N133" s="20"/>
      <c r="O133" s="17"/>
      <c r="P133" s="22" t="str">
        <f aca="false">IF(C133="","",IF(AND(M133="Sim",N133=""),"Agarrada sem motivo declarado",IF(AND(H133="Sim",I133=""),"Traciona hoje sem próximo passo",IF(AND(O133&lt;&gt;"",O133&gt;=14),"Parada há 14 dias ou mais",IF(AND(M133="Sim",O133&lt;&gt;"",O133&gt;=7),"Agarrada há 7 dias, escalar",IF(AND(I133&lt;&gt;"",J133=""),"Próximo passo sem data",""))))))</f>
        <v/>
      </c>
    </row>
    <row r="134" customFormat="false" ht="15" hidden="false" customHeight="false" outlineLevel="0" collapsed="false">
      <c r="A134" s="21"/>
      <c r="B134" s="17"/>
      <c r="C134" s="17"/>
      <c r="D134" s="19"/>
      <c r="E134" s="20"/>
      <c r="F134" s="20"/>
      <c r="G134" s="20"/>
      <c r="H134" s="20"/>
      <c r="I134" s="17"/>
      <c r="J134" s="21"/>
      <c r="K134" s="20"/>
      <c r="L134" s="17"/>
      <c r="M134" s="20"/>
      <c r="N134" s="20"/>
      <c r="O134" s="17"/>
      <c r="P134" s="22" t="str">
        <f aca="false">IF(C134="","",IF(AND(M134="Sim",N134=""),"Agarrada sem motivo declarado",IF(AND(H134="Sim",I134=""),"Traciona hoje sem próximo passo",IF(AND(O134&lt;&gt;"",O134&gt;=14),"Parada há 14 dias ou mais",IF(AND(M134="Sim",O134&lt;&gt;"",O134&gt;=7),"Agarrada há 7 dias, escalar",IF(AND(I134&lt;&gt;"",J134=""),"Próximo passo sem data",""))))))</f>
        <v/>
      </c>
    </row>
    <row r="135" customFormat="false" ht="15" hidden="false" customHeight="false" outlineLevel="0" collapsed="false">
      <c r="A135" s="21"/>
      <c r="B135" s="17"/>
      <c r="C135" s="17"/>
      <c r="D135" s="19"/>
      <c r="E135" s="20"/>
      <c r="F135" s="20"/>
      <c r="G135" s="20"/>
      <c r="H135" s="20"/>
      <c r="I135" s="17"/>
      <c r="J135" s="21"/>
      <c r="K135" s="20"/>
      <c r="L135" s="17"/>
      <c r="M135" s="20"/>
      <c r="N135" s="20"/>
      <c r="O135" s="17"/>
      <c r="P135" s="22" t="str">
        <f aca="false">IF(C135="","",IF(AND(M135="Sim",N135=""),"Agarrada sem motivo declarado",IF(AND(H135="Sim",I135=""),"Traciona hoje sem próximo passo",IF(AND(O135&lt;&gt;"",O135&gt;=14),"Parada há 14 dias ou mais",IF(AND(M135="Sim",O135&lt;&gt;"",O135&gt;=7),"Agarrada há 7 dias, escalar",IF(AND(I135&lt;&gt;"",J135=""),"Próximo passo sem data",""))))))</f>
        <v/>
      </c>
    </row>
    <row r="136" customFormat="false" ht="15" hidden="false" customHeight="false" outlineLevel="0" collapsed="false">
      <c r="A136" s="21"/>
      <c r="B136" s="17"/>
      <c r="C136" s="17"/>
      <c r="D136" s="19"/>
      <c r="E136" s="20"/>
      <c r="F136" s="20"/>
      <c r="G136" s="20"/>
      <c r="H136" s="20"/>
      <c r="I136" s="17"/>
      <c r="J136" s="21"/>
      <c r="K136" s="20"/>
      <c r="L136" s="17"/>
      <c r="M136" s="20"/>
      <c r="N136" s="20"/>
      <c r="O136" s="17"/>
      <c r="P136" s="22" t="str">
        <f aca="false">IF(C136="","",IF(AND(M136="Sim",N136=""),"Agarrada sem motivo declarado",IF(AND(H136="Sim",I136=""),"Traciona hoje sem próximo passo",IF(AND(O136&lt;&gt;"",O136&gt;=14),"Parada há 14 dias ou mais",IF(AND(M136="Sim",O136&lt;&gt;"",O136&gt;=7),"Agarrada há 7 dias, escalar",IF(AND(I136&lt;&gt;"",J136=""),"Próximo passo sem data",""))))))</f>
        <v/>
      </c>
    </row>
    <row r="137" customFormat="false" ht="15" hidden="false" customHeight="false" outlineLevel="0" collapsed="false">
      <c r="A137" s="21"/>
      <c r="B137" s="17"/>
      <c r="C137" s="17"/>
      <c r="D137" s="19"/>
      <c r="E137" s="20"/>
      <c r="F137" s="20"/>
      <c r="G137" s="20"/>
      <c r="H137" s="20"/>
      <c r="I137" s="17"/>
      <c r="J137" s="21"/>
      <c r="K137" s="20"/>
      <c r="L137" s="17"/>
      <c r="M137" s="20"/>
      <c r="N137" s="20"/>
      <c r="O137" s="17"/>
      <c r="P137" s="22" t="str">
        <f aca="false">IF(C137="","",IF(AND(M137="Sim",N137=""),"Agarrada sem motivo declarado",IF(AND(H137="Sim",I137=""),"Traciona hoje sem próximo passo",IF(AND(O137&lt;&gt;"",O137&gt;=14),"Parada há 14 dias ou mais",IF(AND(M137="Sim",O137&lt;&gt;"",O137&gt;=7),"Agarrada há 7 dias, escalar",IF(AND(I137&lt;&gt;"",J137=""),"Próximo passo sem data",""))))))</f>
        <v/>
      </c>
    </row>
    <row r="138" customFormat="false" ht="15" hidden="false" customHeight="false" outlineLevel="0" collapsed="false">
      <c r="A138" s="21"/>
      <c r="B138" s="17"/>
      <c r="C138" s="17"/>
      <c r="D138" s="19"/>
      <c r="E138" s="20"/>
      <c r="F138" s="20"/>
      <c r="G138" s="20"/>
      <c r="H138" s="20"/>
      <c r="I138" s="17"/>
      <c r="J138" s="21"/>
      <c r="K138" s="20"/>
      <c r="L138" s="17"/>
      <c r="M138" s="20"/>
      <c r="N138" s="20"/>
      <c r="O138" s="17"/>
      <c r="P138" s="22" t="str">
        <f aca="false">IF(C138="","",IF(AND(M138="Sim",N138=""),"Agarrada sem motivo declarado",IF(AND(H138="Sim",I138=""),"Traciona hoje sem próximo passo",IF(AND(O138&lt;&gt;"",O138&gt;=14),"Parada há 14 dias ou mais",IF(AND(M138="Sim",O138&lt;&gt;"",O138&gt;=7),"Agarrada há 7 dias, escalar",IF(AND(I138&lt;&gt;"",J138=""),"Próximo passo sem data",""))))))</f>
        <v/>
      </c>
    </row>
    <row r="139" customFormat="false" ht="15" hidden="false" customHeight="false" outlineLevel="0" collapsed="false">
      <c r="A139" s="21"/>
      <c r="B139" s="17"/>
      <c r="C139" s="17"/>
      <c r="D139" s="19"/>
      <c r="E139" s="20"/>
      <c r="F139" s="20"/>
      <c r="G139" s="20"/>
      <c r="H139" s="20"/>
      <c r="I139" s="17"/>
      <c r="J139" s="21"/>
      <c r="K139" s="20"/>
      <c r="L139" s="17"/>
      <c r="M139" s="20"/>
      <c r="N139" s="20"/>
      <c r="O139" s="17"/>
      <c r="P139" s="22" t="str">
        <f aca="false">IF(C139="","",IF(AND(M139="Sim",N139=""),"Agarrada sem motivo declarado",IF(AND(H139="Sim",I139=""),"Traciona hoje sem próximo passo",IF(AND(O139&lt;&gt;"",O139&gt;=14),"Parada há 14 dias ou mais",IF(AND(M139="Sim",O139&lt;&gt;"",O139&gt;=7),"Agarrada há 7 dias, escalar",IF(AND(I139&lt;&gt;"",J139=""),"Próximo passo sem data",""))))))</f>
        <v/>
      </c>
    </row>
    <row r="140" customFormat="false" ht="15" hidden="false" customHeight="false" outlineLevel="0" collapsed="false">
      <c r="A140" s="21"/>
      <c r="B140" s="17"/>
      <c r="C140" s="17"/>
      <c r="D140" s="19"/>
      <c r="E140" s="20"/>
      <c r="F140" s="20"/>
      <c r="G140" s="20"/>
      <c r="H140" s="20"/>
      <c r="I140" s="17"/>
      <c r="J140" s="21"/>
      <c r="K140" s="20"/>
      <c r="L140" s="17"/>
      <c r="M140" s="20"/>
      <c r="N140" s="20"/>
      <c r="O140" s="17"/>
      <c r="P140" s="22" t="str">
        <f aca="false">IF(C140="","",IF(AND(M140="Sim",N140=""),"Agarrada sem motivo declarado",IF(AND(H140="Sim",I140=""),"Traciona hoje sem próximo passo",IF(AND(O140&lt;&gt;"",O140&gt;=14),"Parada há 14 dias ou mais",IF(AND(M140="Sim",O140&lt;&gt;"",O140&gt;=7),"Agarrada há 7 dias, escalar",IF(AND(I140&lt;&gt;"",J140=""),"Próximo passo sem data",""))))))</f>
        <v/>
      </c>
    </row>
    <row r="141" customFormat="false" ht="15" hidden="false" customHeight="false" outlineLevel="0" collapsed="false">
      <c r="A141" s="21"/>
      <c r="B141" s="17"/>
      <c r="C141" s="17"/>
      <c r="D141" s="19"/>
      <c r="E141" s="20"/>
      <c r="F141" s="20"/>
      <c r="G141" s="20"/>
      <c r="H141" s="20"/>
      <c r="I141" s="17"/>
      <c r="J141" s="21"/>
      <c r="K141" s="20"/>
      <c r="L141" s="17"/>
      <c r="M141" s="20"/>
      <c r="N141" s="20"/>
      <c r="O141" s="17"/>
      <c r="P141" s="22" t="str">
        <f aca="false">IF(C141="","",IF(AND(M141="Sim",N141=""),"Agarrada sem motivo declarado",IF(AND(H141="Sim",I141=""),"Traciona hoje sem próximo passo",IF(AND(O141&lt;&gt;"",O141&gt;=14),"Parada há 14 dias ou mais",IF(AND(M141="Sim",O141&lt;&gt;"",O141&gt;=7),"Agarrada há 7 dias, escalar",IF(AND(I141&lt;&gt;"",J141=""),"Próximo passo sem data",""))))))</f>
        <v/>
      </c>
    </row>
    <row r="142" customFormat="false" ht="15" hidden="false" customHeight="false" outlineLevel="0" collapsed="false">
      <c r="A142" s="21"/>
      <c r="B142" s="17"/>
      <c r="C142" s="17"/>
      <c r="D142" s="19"/>
      <c r="E142" s="20"/>
      <c r="F142" s="20"/>
      <c r="G142" s="20"/>
      <c r="H142" s="20"/>
      <c r="I142" s="17"/>
      <c r="J142" s="21"/>
      <c r="K142" s="20"/>
      <c r="L142" s="17"/>
      <c r="M142" s="20"/>
      <c r="N142" s="20"/>
      <c r="O142" s="17"/>
      <c r="P142" s="22" t="str">
        <f aca="false">IF(C142="","",IF(AND(M142="Sim",N142=""),"Agarrada sem motivo declarado",IF(AND(H142="Sim",I142=""),"Traciona hoje sem próximo passo",IF(AND(O142&lt;&gt;"",O142&gt;=14),"Parada há 14 dias ou mais",IF(AND(M142="Sim",O142&lt;&gt;"",O142&gt;=7),"Agarrada há 7 dias, escalar",IF(AND(I142&lt;&gt;"",J142=""),"Próximo passo sem data",""))))))</f>
        <v/>
      </c>
    </row>
    <row r="143" customFormat="false" ht="15" hidden="false" customHeight="false" outlineLevel="0" collapsed="false">
      <c r="A143" s="21"/>
      <c r="B143" s="17"/>
      <c r="C143" s="17"/>
      <c r="D143" s="19"/>
      <c r="E143" s="20"/>
      <c r="F143" s="20"/>
      <c r="G143" s="20"/>
      <c r="H143" s="20"/>
      <c r="I143" s="17"/>
      <c r="J143" s="21"/>
      <c r="K143" s="20"/>
      <c r="L143" s="17"/>
      <c r="M143" s="20"/>
      <c r="N143" s="20"/>
      <c r="O143" s="17"/>
      <c r="P143" s="22" t="str">
        <f aca="false">IF(C143="","",IF(AND(M143="Sim",N143=""),"Agarrada sem motivo declarado",IF(AND(H143="Sim",I143=""),"Traciona hoje sem próximo passo",IF(AND(O143&lt;&gt;"",O143&gt;=14),"Parada há 14 dias ou mais",IF(AND(M143="Sim",O143&lt;&gt;"",O143&gt;=7),"Agarrada há 7 dias, escalar",IF(AND(I143&lt;&gt;"",J143=""),"Próximo passo sem data",""))))))</f>
        <v/>
      </c>
    </row>
    <row r="144" customFormat="false" ht="15" hidden="false" customHeight="false" outlineLevel="0" collapsed="false">
      <c r="A144" s="21"/>
      <c r="B144" s="17"/>
      <c r="C144" s="17"/>
      <c r="D144" s="19"/>
      <c r="E144" s="20"/>
      <c r="F144" s="20"/>
      <c r="G144" s="20"/>
      <c r="H144" s="20"/>
      <c r="I144" s="17"/>
      <c r="J144" s="21"/>
      <c r="K144" s="20"/>
      <c r="L144" s="17"/>
      <c r="M144" s="20"/>
      <c r="N144" s="20"/>
      <c r="O144" s="17"/>
      <c r="P144" s="22" t="str">
        <f aca="false">IF(C144="","",IF(AND(M144="Sim",N144=""),"Agarrada sem motivo declarado",IF(AND(H144="Sim",I144=""),"Traciona hoje sem próximo passo",IF(AND(O144&lt;&gt;"",O144&gt;=14),"Parada há 14 dias ou mais",IF(AND(M144="Sim",O144&lt;&gt;"",O144&gt;=7),"Agarrada há 7 dias, escalar",IF(AND(I144&lt;&gt;"",J144=""),"Próximo passo sem data",""))))))</f>
        <v/>
      </c>
    </row>
    <row r="145" customFormat="false" ht="15" hidden="false" customHeight="false" outlineLevel="0" collapsed="false">
      <c r="A145" s="21"/>
      <c r="B145" s="17"/>
      <c r="C145" s="17"/>
      <c r="D145" s="19"/>
      <c r="E145" s="20"/>
      <c r="F145" s="20"/>
      <c r="G145" s="20"/>
      <c r="H145" s="20"/>
      <c r="I145" s="17"/>
      <c r="J145" s="21"/>
      <c r="K145" s="20"/>
      <c r="L145" s="17"/>
      <c r="M145" s="20"/>
      <c r="N145" s="20"/>
      <c r="O145" s="17"/>
      <c r="P145" s="22" t="str">
        <f aca="false">IF(C145="","",IF(AND(M145="Sim",N145=""),"Agarrada sem motivo declarado",IF(AND(H145="Sim",I145=""),"Traciona hoje sem próximo passo",IF(AND(O145&lt;&gt;"",O145&gt;=14),"Parada há 14 dias ou mais",IF(AND(M145="Sim",O145&lt;&gt;"",O145&gt;=7),"Agarrada há 7 dias, escalar",IF(AND(I145&lt;&gt;"",J145=""),"Próximo passo sem data",""))))))</f>
        <v/>
      </c>
    </row>
    <row r="146" customFormat="false" ht="15" hidden="false" customHeight="false" outlineLevel="0" collapsed="false">
      <c r="A146" s="21"/>
      <c r="B146" s="17"/>
      <c r="C146" s="17"/>
      <c r="D146" s="19"/>
      <c r="E146" s="20"/>
      <c r="F146" s="20"/>
      <c r="G146" s="20"/>
      <c r="H146" s="20"/>
      <c r="I146" s="17"/>
      <c r="J146" s="21"/>
      <c r="K146" s="20"/>
      <c r="L146" s="17"/>
      <c r="M146" s="20"/>
      <c r="N146" s="20"/>
      <c r="O146" s="17"/>
      <c r="P146" s="22" t="str">
        <f aca="false">IF(C146="","",IF(AND(M146="Sim",N146=""),"Agarrada sem motivo declarado",IF(AND(H146="Sim",I146=""),"Traciona hoje sem próximo passo",IF(AND(O146&lt;&gt;"",O146&gt;=14),"Parada há 14 dias ou mais",IF(AND(M146="Sim",O146&lt;&gt;"",O146&gt;=7),"Agarrada há 7 dias, escalar",IF(AND(I146&lt;&gt;"",J146=""),"Próximo passo sem data",""))))))</f>
        <v/>
      </c>
    </row>
    <row r="147" customFormat="false" ht="15" hidden="false" customHeight="false" outlineLevel="0" collapsed="false">
      <c r="A147" s="21"/>
      <c r="B147" s="17"/>
      <c r="C147" s="17"/>
      <c r="D147" s="19"/>
      <c r="E147" s="20"/>
      <c r="F147" s="20"/>
      <c r="G147" s="20"/>
      <c r="H147" s="20"/>
      <c r="I147" s="17"/>
      <c r="J147" s="21"/>
      <c r="K147" s="20"/>
      <c r="L147" s="17"/>
      <c r="M147" s="20"/>
      <c r="N147" s="20"/>
      <c r="O147" s="17"/>
      <c r="P147" s="22" t="str">
        <f aca="false">IF(C147="","",IF(AND(M147="Sim",N147=""),"Agarrada sem motivo declarado",IF(AND(H147="Sim",I147=""),"Traciona hoje sem próximo passo",IF(AND(O147&lt;&gt;"",O147&gt;=14),"Parada há 14 dias ou mais",IF(AND(M147="Sim",O147&lt;&gt;"",O147&gt;=7),"Agarrada há 7 dias, escalar",IF(AND(I147&lt;&gt;"",J147=""),"Próximo passo sem data",""))))))</f>
        <v/>
      </c>
    </row>
    <row r="148" customFormat="false" ht="15" hidden="false" customHeight="false" outlineLevel="0" collapsed="false">
      <c r="A148" s="21"/>
      <c r="B148" s="17"/>
      <c r="C148" s="17"/>
      <c r="D148" s="19"/>
      <c r="E148" s="20"/>
      <c r="F148" s="20"/>
      <c r="G148" s="20"/>
      <c r="H148" s="20"/>
      <c r="I148" s="17"/>
      <c r="J148" s="21"/>
      <c r="K148" s="20"/>
      <c r="L148" s="17"/>
      <c r="M148" s="20"/>
      <c r="N148" s="20"/>
      <c r="O148" s="17"/>
      <c r="P148" s="22" t="str">
        <f aca="false">IF(C148="","",IF(AND(M148="Sim",N148=""),"Agarrada sem motivo declarado",IF(AND(H148="Sim",I148=""),"Traciona hoje sem próximo passo",IF(AND(O148&lt;&gt;"",O148&gt;=14),"Parada há 14 dias ou mais",IF(AND(M148="Sim",O148&lt;&gt;"",O148&gt;=7),"Agarrada há 7 dias, escalar",IF(AND(I148&lt;&gt;"",J148=""),"Próximo passo sem data",""))))))</f>
        <v/>
      </c>
    </row>
    <row r="149" customFormat="false" ht="15" hidden="false" customHeight="false" outlineLevel="0" collapsed="false">
      <c r="A149" s="21"/>
      <c r="B149" s="17"/>
      <c r="C149" s="17"/>
      <c r="D149" s="19"/>
      <c r="E149" s="20"/>
      <c r="F149" s="20"/>
      <c r="G149" s="20"/>
      <c r="H149" s="20"/>
      <c r="I149" s="17"/>
      <c r="J149" s="21"/>
      <c r="K149" s="20"/>
      <c r="L149" s="17"/>
      <c r="M149" s="20"/>
      <c r="N149" s="20"/>
      <c r="O149" s="17"/>
      <c r="P149" s="22" t="str">
        <f aca="false">IF(C149="","",IF(AND(M149="Sim",N149=""),"Agarrada sem motivo declarado",IF(AND(H149="Sim",I149=""),"Traciona hoje sem próximo passo",IF(AND(O149&lt;&gt;"",O149&gt;=14),"Parada há 14 dias ou mais",IF(AND(M149="Sim",O149&lt;&gt;"",O149&gt;=7),"Agarrada há 7 dias, escalar",IF(AND(I149&lt;&gt;"",J149=""),"Próximo passo sem data",""))))))</f>
        <v/>
      </c>
    </row>
    <row r="150" customFormat="false" ht="15" hidden="false" customHeight="false" outlineLevel="0" collapsed="false">
      <c r="A150" s="21"/>
      <c r="B150" s="17"/>
      <c r="C150" s="17"/>
      <c r="D150" s="19"/>
      <c r="E150" s="20"/>
      <c r="F150" s="20"/>
      <c r="G150" s="20"/>
      <c r="H150" s="20"/>
      <c r="I150" s="17"/>
      <c r="J150" s="21"/>
      <c r="K150" s="20"/>
      <c r="L150" s="17"/>
      <c r="M150" s="20"/>
      <c r="N150" s="20"/>
      <c r="O150" s="17"/>
      <c r="P150" s="22" t="str">
        <f aca="false">IF(C150="","",IF(AND(M150="Sim",N150=""),"Agarrada sem motivo declarado",IF(AND(H150="Sim",I150=""),"Traciona hoje sem próximo passo",IF(AND(O150&lt;&gt;"",O150&gt;=14),"Parada há 14 dias ou mais",IF(AND(M150="Sim",O150&lt;&gt;"",O150&gt;=7),"Agarrada há 7 dias, escalar",IF(AND(I150&lt;&gt;"",J150=""),"Próximo passo sem data",""))))))</f>
        <v/>
      </c>
    </row>
    <row r="151" customFormat="false" ht="15" hidden="false" customHeight="false" outlineLevel="0" collapsed="false">
      <c r="A151" s="21"/>
      <c r="B151" s="17"/>
      <c r="C151" s="17"/>
      <c r="D151" s="19"/>
      <c r="E151" s="20"/>
      <c r="F151" s="20"/>
      <c r="G151" s="20"/>
      <c r="H151" s="20"/>
      <c r="I151" s="17"/>
      <c r="J151" s="21"/>
      <c r="K151" s="20"/>
      <c r="L151" s="17"/>
      <c r="M151" s="20"/>
      <c r="N151" s="20"/>
      <c r="O151" s="17"/>
      <c r="P151" s="22" t="str">
        <f aca="false">IF(C151="","",IF(AND(M151="Sim",N151=""),"Agarrada sem motivo declarado",IF(AND(H151="Sim",I151=""),"Traciona hoje sem próximo passo",IF(AND(O151&lt;&gt;"",O151&gt;=14),"Parada há 14 dias ou mais",IF(AND(M151="Sim",O151&lt;&gt;"",O151&gt;=7),"Agarrada há 7 dias, escalar",IF(AND(I151&lt;&gt;"",J151=""),"Próximo passo sem data",""))))))</f>
        <v/>
      </c>
    </row>
    <row r="152" customFormat="false" ht="15" hidden="false" customHeight="false" outlineLevel="0" collapsed="false">
      <c r="A152" s="21"/>
      <c r="B152" s="17"/>
      <c r="C152" s="17"/>
      <c r="D152" s="19"/>
      <c r="E152" s="20"/>
      <c r="F152" s="20"/>
      <c r="G152" s="20"/>
      <c r="H152" s="20"/>
      <c r="I152" s="17"/>
      <c r="J152" s="21"/>
      <c r="K152" s="20"/>
      <c r="L152" s="17"/>
      <c r="M152" s="20"/>
      <c r="N152" s="20"/>
      <c r="O152" s="17"/>
      <c r="P152" s="22" t="str">
        <f aca="false">IF(C152="","",IF(AND(M152="Sim",N152=""),"Agarrada sem motivo declarado",IF(AND(H152="Sim",I152=""),"Traciona hoje sem próximo passo",IF(AND(O152&lt;&gt;"",O152&gt;=14),"Parada há 14 dias ou mais",IF(AND(M152="Sim",O152&lt;&gt;"",O152&gt;=7),"Agarrada há 7 dias, escalar",IF(AND(I152&lt;&gt;"",J152=""),"Próximo passo sem data",""))))))</f>
        <v/>
      </c>
    </row>
    <row r="153" customFormat="false" ht="15" hidden="false" customHeight="false" outlineLevel="0" collapsed="false">
      <c r="A153" s="21"/>
      <c r="B153" s="17"/>
      <c r="C153" s="17"/>
      <c r="D153" s="19"/>
      <c r="E153" s="20"/>
      <c r="F153" s="20"/>
      <c r="G153" s="20"/>
      <c r="H153" s="20"/>
      <c r="I153" s="17"/>
      <c r="J153" s="21"/>
      <c r="K153" s="20"/>
      <c r="L153" s="17"/>
      <c r="M153" s="20"/>
      <c r="N153" s="20"/>
      <c r="O153" s="17"/>
      <c r="P153" s="22" t="str">
        <f aca="false">IF(C153="","",IF(AND(M153="Sim",N153=""),"Agarrada sem motivo declarado",IF(AND(H153="Sim",I153=""),"Traciona hoje sem próximo passo",IF(AND(O153&lt;&gt;"",O153&gt;=14),"Parada há 14 dias ou mais",IF(AND(M153="Sim",O153&lt;&gt;"",O153&gt;=7),"Agarrada há 7 dias, escalar",IF(AND(I153&lt;&gt;"",J153=""),"Próximo passo sem data",""))))))</f>
        <v/>
      </c>
    </row>
    <row r="154" customFormat="false" ht="15" hidden="false" customHeight="false" outlineLevel="0" collapsed="false">
      <c r="A154" s="21"/>
      <c r="B154" s="17"/>
      <c r="C154" s="17"/>
      <c r="D154" s="19"/>
      <c r="E154" s="20"/>
      <c r="F154" s="20"/>
      <c r="G154" s="20"/>
      <c r="H154" s="20"/>
      <c r="I154" s="17"/>
      <c r="J154" s="21"/>
      <c r="K154" s="20"/>
      <c r="L154" s="17"/>
      <c r="M154" s="20"/>
      <c r="N154" s="20"/>
      <c r="O154" s="17"/>
      <c r="P154" s="22" t="str">
        <f aca="false">IF(C154="","",IF(AND(M154="Sim",N154=""),"Agarrada sem motivo declarado",IF(AND(H154="Sim",I154=""),"Traciona hoje sem próximo passo",IF(AND(O154&lt;&gt;"",O154&gt;=14),"Parada há 14 dias ou mais",IF(AND(M154="Sim",O154&lt;&gt;"",O154&gt;=7),"Agarrada há 7 dias, escalar",IF(AND(I154&lt;&gt;"",J154=""),"Próximo passo sem data",""))))))</f>
        <v/>
      </c>
    </row>
    <row r="155" customFormat="false" ht="15" hidden="false" customHeight="false" outlineLevel="0" collapsed="false">
      <c r="A155" s="21"/>
      <c r="B155" s="17"/>
      <c r="C155" s="17"/>
      <c r="D155" s="19"/>
      <c r="E155" s="20"/>
      <c r="F155" s="20"/>
      <c r="G155" s="20"/>
      <c r="H155" s="20"/>
      <c r="I155" s="17"/>
      <c r="J155" s="21"/>
      <c r="K155" s="20"/>
      <c r="L155" s="17"/>
      <c r="M155" s="20"/>
      <c r="N155" s="20"/>
      <c r="O155" s="17"/>
      <c r="P155" s="22" t="str">
        <f aca="false">IF(C155="","",IF(AND(M155="Sim",N155=""),"Agarrada sem motivo declarado",IF(AND(H155="Sim",I155=""),"Traciona hoje sem próximo passo",IF(AND(O155&lt;&gt;"",O155&gt;=14),"Parada há 14 dias ou mais",IF(AND(M155="Sim",O155&lt;&gt;"",O155&gt;=7),"Agarrada há 7 dias, escalar",IF(AND(I155&lt;&gt;"",J155=""),"Próximo passo sem data",""))))))</f>
        <v/>
      </c>
    </row>
    <row r="156" customFormat="false" ht="15" hidden="false" customHeight="false" outlineLevel="0" collapsed="false">
      <c r="A156" s="21"/>
      <c r="B156" s="17"/>
      <c r="C156" s="17"/>
      <c r="D156" s="19"/>
      <c r="E156" s="20"/>
      <c r="F156" s="20"/>
      <c r="G156" s="20"/>
      <c r="H156" s="20"/>
      <c r="I156" s="17"/>
      <c r="J156" s="21"/>
      <c r="K156" s="20"/>
      <c r="L156" s="17"/>
      <c r="M156" s="20"/>
      <c r="N156" s="20"/>
      <c r="O156" s="17"/>
      <c r="P156" s="22" t="str">
        <f aca="false">IF(C156="","",IF(AND(M156="Sim",N156=""),"Agarrada sem motivo declarado",IF(AND(H156="Sim",I156=""),"Traciona hoje sem próximo passo",IF(AND(O156&lt;&gt;"",O156&gt;=14),"Parada há 14 dias ou mais",IF(AND(M156="Sim",O156&lt;&gt;"",O156&gt;=7),"Agarrada há 7 dias, escalar",IF(AND(I156&lt;&gt;"",J156=""),"Próximo passo sem data",""))))))</f>
        <v/>
      </c>
    </row>
    <row r="157" customFormat="false" ht="15" hidden="false" customHeight="false" outlineLevel="0" collapsed="false">
      <c r="A157" s="21"/>
      <c r="B157" s="17"/>
      <c r="C157" s="17"/>
      <c r="D157" s="19"/>
      <c r="E157" s="20"/>
      <c r="F157" s="20"/>
      <c r="G157" s="20"/>
      <c r="H157" s="20"/>
      <c r="I157" s="17"/>
      <c r="J157" s="21"/>
      <c r="K157" s="20"/>
      <c r="L157" s="17"/>
      <c r="M157" s="20"/>
      <c r="N157" s="20"/>
      <c r="O157" s="17"/>
      <c r="P157" s="22" t="str">
        <f aca="false">IF(C157="","",IF(AND(M157="Sim",N157=""),"Agarrada sem motivo declarado",IF(AND(H157="Sim",I157=""),"Traciona hoje sem próximo passo",IF(AND(O157&lt;&gt;"",O157&gt;=14),"Parada há 14 dias ou mais",IF(AND(M157="Sim",O157&lt;&gt;"",O157&gt;=7),"Agarrada há 7 dias, escalar",IF(AND(I157&lt;&gt;"",J157=""),"Próximo passo sem data",""))))))</f>
        <v/>
      </c>
    </row>
    <row r="158" customFormat="false" ht="15" hidden="false" customHeight="false" outlineLevel="0" collapsed="false">
      <c r="A158" s="21"/>
      <c r="B158" s="17"/>
      <c r="C158" s="17"/>
      <c r="D158" s="19"/>
      <c r="E158" s="20"/>
      <c r="F158" s="20"/>
      <c r="G158" s="20"/>
      <c r="H158" s="20"/>
      <c r="I158" s="17"/>
      <c r="J158" s="21"/>
      <c r="K158" s="20"/>
      <c r="L158" s="17"/>
      <c r="M158" s="20"/>
      <c r="N158" s="20"/>
      <c r="O158" s="17"/>
      <c r="P158" s="22" t="str">
        <f aca="false">IF(C158="","",IF(AND(M158="Sim",N158=""),"Agarrada sem motivo declarado",IF(AND(H158="Sim",I158=""),"Traciona hoje sem próximo passo",IF(AND(O158&lt;&gt;"",O158&gt;=14),"Parada há 14 dias ou mais",IF(AND(M158="Sim",O158&lt;&gt;"",O158&gt;=7),"Agarrada há 7 dias, escalar",IF(AND(I158&lt;&gt;"",J158=""),"Próximo passo sem data",""))))))</f>
        <v/>
      </c>
    </row>
    <row r="159" customFormat="false" ht="15" hidden="false" customHeight="false" outlineLevel="0" collapsed="false">
      <c r="A159" s="21"/>
      <c r="B159" s="17"/>
      <c r="C159" s="17"/>
      <c r="D159" s="19"/>
      <c r="E159" s="20"/>
      <c r="F159" s="20"/>
      <c r="G159" s="20"/>
      <c r="H159" s="20"/>
      <c r="I159" s="17"/>
      <c r="J159" s="21"/>
      <c r="K159" s="20"/>
      <c r="L159" s="17"/>
      <c r="M159" s="20"/>
      <c r="N159" s="20"/>
      <c r="O159" s="17"/>
      <c r="P159" s="22" t="str">
        <f aca="false">IF(C159="","",IF(AND(M159="Sim",N159=""),"Agarrada sem motivo declarado",IF(AND(H159="Sim",I159=""),"Traciona hoje sem próximo passo",IF(AND(O159&lt;&gt;"",O159&gt;=14),"Parada há 14 dias ou mais",IF(AND(M159="Sim",O159&lt;&gt;"",O159&gt;=7),"Agarrada há 7 dias, escalar",IF(AND(I159&lt;&gt;"",J159=""),"Próximo passo sem data",""))))))</f>
        <v/>
      </c>
    </row>
    <row r="160" customFormat="false" ht="15" hidden="false" customHeight="false" outlineLevel="0" collapsed="false">
      <c r="A160" s="21"/>
      <c r="B160" s="17"/>
      <c r="C160" s="17"/>
      <c r="D160" s="19"/>
      <c r="E160" s="20"/>
      <c r="F160" s="20"/>
      <c r="G160" s="20"/>
      <c r="H160" s="20"/>
      <c r="I160" s="17"/>
      <c r="J160" s="21"/>
      <c r="K160" s="20"/>
      <c r="L160" s="17"/>
      <c r="M160" s="20"/>
      <c r="N160" s="20"/>
      <c r="O160" s="17"/>
      <c r="P160" s="22" t="str">
        <f aca="false">IF(C160="","",IF(AND(M160="Sim",N160=""),"Agarrada sem motivo declarado",IF(AND(H160="Sim",I160=""),"Traciona hoje sem próximo passo",IF(AND(O160&lt;&gt;"",O160&gt;=14),"Parada há 14 dias ou mais",IF(AND(M160="Sim",O160&lt;&gt;"",O160&gt;=7),"Agarrada há 7 dias, escalar",IF(AND(I160&lt;&gt;"",J160=""),"Próximo passo sem data",""))))))</f>
        <v/>
      </c>
    </row>
    <row r="161" customFormat="false" ht="15" hidden="false" customHeight="false" outlineLevel="0" collapsed="false">
      <c r="A161" s="21"/>
      <c r="B161" s="17"/>
      <c r="C161" s="17"/>
      <c r="D161" s="19"/>
      <c r="E161" s="20"/>
      <c r="F161" s="20"/>
      <c r="G161" s="20"/>
      <c r="H161" s="20"/>
      <c r="I161" s="17"/>
      <c r="J161" s="21"/>
      <c r="K161" s="20"/>
      <c r="L161" s="17"/>
      <c r="M161" s="20"/>
      <c r="N161" s="20"/>
      <c r="O161" s="17"/>
      <c r="P161" s="22" t="str">
        <f aca="false">IF(C161="","",IF(AND(M161="Sim",N161=""),"Agarrada sem motivo declarado",IF(AND(H161="Sim",I161=""),"Traciona hoje sem próximo passo",IF(AND(O161&lt;&gt;"",O161&gt;=14),"Parada há 14 dias ou mais",IF(AND(M161="Sim",O161&lt;&gt;"",O161&gt;=7),"Agarrada há 7 dias, escalar",IF(AND(I161&lt;&gt;"",J161=""),"Próximo passo sem data",""))))))</f>
        <v/>
      </c>
    </row>
    <row r="162" customFormat="false" ht="15" hidden="false" customHeight="false" outlineLevel="0" collapsed="false">
      <c r="A162" s="21"/>
      <c r="B162" s="17"/>
      <c r="C162" s="17"/>
      <c r="D162" s="19"/>
      <c r="E162" s="20"/>
      <c r="F162" s="20"/>
      <c r="G162" s="20"/>
      <c r="H162" s="20"/>
      <c r="I162" s="17"/>
      <c r="J162" s="21"/>
      <c r="K162" s="20"/>
      <c r="L162" s="17"/>
      <c r="M162" s="20"/>
      <c r="N162" s="20"/>
      <c r="O162" s="17"/>
      <c r="P162" s="22" t="str">
        <f aca="false">IF(C162="","",IF(AND(M162="Sim",N162=""),"Agarrada sem motivo declarado",IF(AND(H162="Sim",I162=""),"Traciona hoje sem próximo passo",IF(AND(O162&lt;&gt;"",O162&gt;=14),"Parada há 14 dias ou mais",IF(AND(M162="Sim",O162&lt;&gt;"",O162&gt;=7),"Agarrada há 7 dias, escalar",IF(AND(I162&lt;&gt;"",J162=""),"Próximo passo sem data",""))))))</f>
        <v/>
      </c>
    </row>
    <row r="163" customFormat="false" ht="15" hidden="false" customHeight="false" outlineLevel="0" collapsed="false">
      <c r="A163" s="21"/>
      <c r="B163" s="17"/>
      <c r="C163" s="17"/>
      <c r="D163" s="19"/>
      <c r="E163" s="20"/>
      <c r="F163" s="20"/>
      <c r="G163" s="20"/>
      <c r="H163" s="20"/>
      <c r="I163" s="17"/>
      <c r="J163" s="21"/>
      <c r="K163" s="20"/>
      <c r="L163" s="17"/>
      <c r="M163" s="20"/>
      <c r="N163" s="20"/>
      <c r="O163" s="17"/>
      <c r="P163" s="22" t="str">
        <f aca="false">IF(C163="","",IF(AND(M163="Sim",N163=""),"Agarrada sem motivo declarado",IF(AND(H163="Sim",I163=""),"Traciona hoje sem próximo passo",IF(AND(O163&lt;&gt;"",O163&gt;=14),"Parada há 14 dias ou mais",IF(AND(M163="Sim",O163&lt;&gt;"",O163&gt;=7),"Agarrada há 7 dias, escalar",IF(AND(I163&lt;&gt;"",J163=""),"Próximo passo sem data",""))))))</f>
        <v/>
      </c>
    </row>
    <row r="164" customFormat="false" ht="15" hidden="false" customHeight="false" outlineLevel="0" collapsed="false">
      <c r="A164" s="21"/>
      <c r="B164" s="17"/>
      <c r="C164" s="17"/>
      <c r="D164" s="19"/>
      <c r="E164" s="20"/>
      <c r="F164" s="20"/>
      <c r="G164" s="20"/>
      <c r="H164" s="20"/>
      <c r="I164" s="17"/>
      <c r="J164" s="21"/>
      <c r="K164" s="20"/>
      <c r="L164" s="17"/>
      <c r="M164" s="20"/>
      <c r="N164" s="20"/>
      <c r="O164" s="17"/>
      <c r="P164" s="22" t="str">
        <f aca="false">IF(C164="","",IF(AND(M164="Sim",N164=""),"Agarrada sem motivo declarado",IF(AND(H164="Sim",I164=""),"Traciona hoje sem próximo passo",IF(AND(O164&lt;&gt;"",O164&gt;=14),"Parada há 14 dias ou mais",IF(AND(M164="Sim",O164&lt;&gt;"",O164&gt;=7),"Agarrada há 7 dias, escalar",IF(AND(I164&lt;&gt;"",J164=""),"Próximo passo sem data",""))))))</f>
        <v/>
      </c>
    </row>
    <row r="165" customFormat="false" ht="15" hidden="false" customHeight="false" outlineLevel="0" collapsed="false">
      <c r="A165" s="21"/>
      <c r="B165" s="17"/>
      <c r="C165" s="17"/>
      <c r="D165" s="19"/>
      <c r="E165" s="20"/>
      <c r="F165" s="20"/>
      <c r="G165" s="20"/>
      <c r="H165" s="20"/>
      <c r="I165" s="17"/>
      <c r="J165" s="21"/>
      <c r="K165" s="20"/>
      <c r="L165" s="17"/>
      <c r="M165" s="20"/>
      <c r="N165" s="20"/>
      <c r="O165" s="17"/>
      <c r="P165" s="22" t="str">
        <f aca="false">IF(C165="","",IF(AND(M165="Sim",N165=""),"Agarrada sem motivo declarado",IF(AND(H165="Sim",I165=""),"Traciona hoje sem próximo passo",IF(AND(O165&lt;&gt;"",O165&gt;=14),"Parada há 14 dias ou mais",IF(AND(M165="Sim",O165&lt;&gt;"",O165&gt;=7),"Agarrada há 7 dias, escalar",IF(AND(I165&lt;&gt;"",J165=""),"Próximo passo sem data",""))))))</f>
        <v/>
      </c>
    </row>
    <row r="166" customFormat="false" ht="15" hidden="false" customHeight="false" outlineLevel="0" collapsed="false">
      <c r="A166" s="21"/>
      <c r="B166" s="17"/>
      <c r="C166" s="17"/>
      <c r="D166" s="19"/>
      <c r="E166" s="20"/>
      <c r="F166" s="20"/>
      <c r="G166" s="20"/>
      <c r="H166" s="20"/>
      <c r="I166" s="17"/>
      <c r="J166" s="21"/>
      <c r="K166" s="20"/>
      <c r="L166" s="17"/>
      <c r="M166" s="20"/>
      <c r="N166" s="20"/>
      <c r="O166" s="17"/>
      <c r="P166" s="22" t="str">
        <f aca="false">IF(C166="","",IF(AND(M166="Sim",N166=""),"Agarrada sem motivo declarado",IF(AND(H166="Sim",I166=""),"Traciona hoje sem próximo passo",IF(AND(O166&lt;&gt;"",O166&gt;=14),"Parada há 14 dias ou mais",IF(AND(M166="Sim",O166&lt;&gt;"",O166&gt;=7),"Agarrada há 7 dias, escalar",IF(AND(I166&lt;&gt;"",J166=""),"Próximo passo sem data",""))))))</f>
        <v/>
      </c>
    </row>
    <row r="167" customFormat="false" ht="15" hidden="false" customHeight="false" outlineLevel="0" collapsed="false">
      <c r="A167" s="21"/>
      <c r="B167" s="17"/>
      <c r="C167" s="17"/>
      <c r="D167" s="19"/>
      <c r="E167" s="20"/>
      <c r="F167" s="20"/>
      <c r="G167" s="20"/>
      <c r="H167" s="20"/>
      <c r="I167" s="17"/>
      <c r="J167" s="21"/>
      <c r="K167" s="20"/>
      <c r="L167" s="17"/>
      <c r="M167" s="20"/>
      <c r="N167" s="20"/>
      <c r="O167" s="17"/>
      <c r="P167" s="22" t="str">
        <f aca="false">IF(C167="","",IF(AND(M167="Sim",N167=""),"Agarrada sem motivo declarado",IF(AND(H167="Sim",I167=""),"Traciona hoje sem próximo passo",IF(AND(O167&lt;&gt;"",O167&gt;=14),"Parada há 14 dias ou mais",IF(AND(M167="Sim",O167&lt;&gt;"",O167&gt;=7),"Agarrada há 7 dias, escalar",IF(AND(I167&lt;&gt;"",J167=""),"Próximo passo sem data",""))))))</f>
        <v/>
      </c>
    </row>
    <row r="168" customFormat="false" ht="15" hidden="false" customHeight="false" outlineLevel="0" collapsed="false">
      <c r="A168" s="21"/>
      <c r="B168" s="17"/>
      <c r="C168" s="17"/>
      <c r="D168" s="19"/>
      <c r="E168" s="20"/>
      <c r="F168" s="20"/>
      <c r="G168" s="20"/>
      <c r="H168" s="20"/>
      <c r="I168" s="17"/>
      <c r="J168" s="21"/>
      <c r="K168" s="20"/>
      <c r="L168" s="17"/>
      <c r="M168" s="20"/>
      <c r="N168" s="20"/>
      <c r="O168" s="17"/>
      <c r="P168" s="22" t="str">
        <f aca="false">IF(C168="","",IF(AND(M168="Sim",N168=""),"Agarrada sem motivo declarado",IF(AND(H168="Sim",I168=""),"Traciona hoje sem próximo passo",IF(AND(O168&lt;&gt;"",O168&gt;=14),"Parada há 14 dias ou mais",IF(AND(M168="Sim",O168&lt;&gt;"",O168&gt;=7),"Agarrada há 7 dias, escalar",IF(AND(I168&lt;&gt;"",J168=""),"Próximo passo sem data",""))))))</f>
        <v/>
      </c>
    </row>
    <row r="169" customFormat="false" ht="15" hidden="false" customHeight="false" outlineLevel="0" collapsed="false">
      <c r="A169" s="21"/>
      <c r="B169" s="17"/>
      <c r="C169" s="17"/>
      <c r="D169" s="19"/>
      <c r="E169" s="20"/>
      <c r="F169" s="20"/>
      <c r="G169" s="20"/>
      <c r="H169" s="20"/>
      <c r="I169" s="17"/>
      <c r="J169" s="21"/>
      <c r="K169" s="20"/>
      <c r="L169" s="17"/>
      <c r="M169" s="20"/>
      <c r="N169" s="20"/>
      <c r="O169" s="17"/>
      <c r="P169" s="22" t="str">
        <f aca="false">IF(C169="","",IF(AND(M169="Sim",N169=""),"Agarrada sem motivo declarado",IF(AND(H169="Sim",I169=""),"Traciona hoje sem próximo passo",IF(AND(O169&lt;&gt;"",O169&gt;=14),"Parada há 14 dias ou mais",IF(AND(M169="Sim",O169&lt;&gt;"",O169&gt;=7),"Agarrada há 7 dias, escalar",IF(AND(I169&lt;&gt;"",J169=""),"Próximo passo sem data",""))))))</f>
        <v/>
      </c>
    </row>
    <row r="170" customFormat="false" ht="15" hidden="false" customHeight="false" outlineLevel="0" collapsed="false">
      <c r="A170" s="21"/>
      <c r="B170" s="17"/>
      <c r="C170" s="17"/>
      <c r="D170" s="19"/>
      <c r="E170" s="20"/>
      <c r="F170" s="20"/>
      <c r="G170" s="20"/>
      <c r="H170" s="20"/>
      <c r="I170" s="17"/>
      <c r="J170" s="21"/>
      <c r="K170" s="20"/>
      <c r="L170" s="17"/>
      <c r="M170" s="20"/>
      <c r="N170" s="20"/>
      <c r="O170" s="17"/>
      <c r="P170" s="22" t="str">
        <f aca="false">IF(C170="","",IF(AND(M170="Sim",N170=""),"Agarrada sem motivo declarado",IF(AND(H170="Sim",I170=""),"Traciona hoje sem próximo passo",IF(AND(O170&lt;&gt;"",O170&gt;=14),"Parada há 14 dias ou mais",IF(AND(M170="Sim",O170&lt;&gt;"",O170&gt;=7),"Agarrada há 7 dias, escalar",IF(AND(I170&lt;&gt;"",J170=""),"Próximo passo sem data",""))))))</f>
        <v/>
      </c>
    </row>
    <row r="171" customFormat="false" ht="15" hidden="false" customHeight="false" outlineLevel="0" collapsed="false">
      <c r="A171" s="21"/>
      <c r="B171" s="17"/>
      <c r="C171" s="17"/>
      <c r="D171" s="19"/>
      <c r="E171" s="20"/>
      <c r="F171" s="20"/>
      <c r="G171" s="20"/>
      <c r="H171" s="20"/>
      <c r="I171" s="17"/>
      <c r="J171" s="21"/>
      <c r="K171" s="20"/>
      <c r="L171" s="17"/>
      <c r="M171" s="20"/>
      <c r="N171" s="20"/>
      <c r="O171" s="17"/>
      <c r="P171" s="22" t="str">
        <f aca="false">IF(C171="","",IF(AND(M171="Sim",N171=""),"Agarrada sem motivo declarado",IF(AND(H171="Sim",I171=""),"Traciona hoje sem próximo passo",IF(AND(O171&lt;&gt;"",O171&gt;=14),"Parada há 14 dias ou mais",IF(AND(M171="Sim",O171&lt;&gt;"",O171&gt;=7),"Agarrada há 7 dias, escalar",IF(AND(I171&lt;&gt;"",J171=""),"Próximo passo sem data",""))))))</f>
        <v/>
      </c>
    </row>
    <row r="172" customFormat="false" ht="15" hidden="false" customHeight="false" outlineLevel="0" collapsed="false">
      <c r="A172" s="21"/>
      <c r="B172" s="17"/>
      <c r="C172" s="17"/>
      <c r="D172" s="19"/>
      <c r="E172" s="20"/>
      <c r="F172" s="20"/>
      <c r="G172" s="20"/>
      <c r="H172" s="20"/>
      <c r="I172" s="17"/>
      <c r="J172" s="21"/>
      <c r="K172" s="20"/>
      <c r="L172" s="17"/>
      <c r="M172" s="20"/>
      <c r="N172" s="20"/>
      <c r="O172" s="17"/>
      <c r="P172" s="22" t="str">
        <f aca="false">IF(C172="","",IF(AND(M172="Sim",N172=""),"Agarrada sem motivo declarado",IF(AND(H172="Sim",I172=""),"Traciona hoje sem próximo passo",IF(AND(O172&lt;&gt;"",O172&gt;=14),"Parada há 14 dias ou mais",IF(AND(M172="Sim",O172&lt;&gt;"",O172&gt;=7),"Agarrada há 7 dias, escalar",IF(AND(I172&lt;&gt;"",J172=""),"Próximo passo sem data",""))))))</f>
        <v/>
      </c>
    </row>
    <row r="173" customFormat="false" ht="15" hidden="false" customHeight="false" outlineLevel="0" collapsed="false">
      <c r="A173" s="21"/>
      <c r="B173" s="17"/>
      <c r="C173" s="17"/>
      <c r="D173" s="19"/>
      <c r="E173" s="20"/>
      <c r="F173" s="20"/>
      <c r="G173" s="20"/>
      <c r="H173" s="20"/>
      <c r="I173" s="17"/>
      <c r="J173" s="21"/>
      <c r="K173" s="20"/>
      <c r="L173" s="17"/>
      <c r="M173" s="20"/>
      <c r="N173" s="20"/>
      <c r="O173" s="17"/>
      <c r="P173" s="22" t="str">
        <f aca="false">IF(C173="","",IF(AND(M173="Sim",N173=""),"Agarrada sem motivo declarado",IF(AND(H173="Sim",I173=""),"Traciona hoje sem próximo passo",IF(AND(O173&lt;&gt;"",O173&gt;=14),"Parada há 14 dias ou mais",IF(AND(M173="Sim",O173&lt;&gt;"",O173&gt;=7),"Agarrada há 7 dias, escalar",IF(AND(I173&lt;&gt;"",J173=""),"Próximo passo sem data",""))))))</f>
        <v/>
      </c>
    </row>
    <row r="174" customFormat="false" ht="15" hidden="false" customHeight="false" outlineLevel="0" collapsed="false">
      <c r="A174" s="21"/>
      <c r="B174" s="17"/>
      <c r="C174" s="17"/>
      <c r="D174" s="19"/>
      <c r="E174" s="20"/>
      <c r="F174" s="20"/>
      <c r="G174" s="20"/>
      <c r="H174" s="20"/>
      <c r="I174" s="17"/>
      <c r="J174" s="21"/>
      <c r="K174" s="20"/>
      <c r="L174" s="17"/>
      <c r="M174" s="20"/>
      <c r="N174" s="20"/>
      <c r="O174" s="17"/>
      <c r="P174" s="22" t="str">
        <f aca="false">IF(C174="","",IF(AND(M174="Sim",N174=""),"Agarrada sem motivo declarado",IF(AND(H174="Sim",I174=""),"Traciona hoje sem próximo passo",IF(AND(O174&lt;&gt;"",O174&gt;=14),"Parada há 14 dias ou mais",IF(AND(M174="Sim",O174&lt;&gt;"",O174&gt;=7),"Agarrada há 7 dias, escalar",IF(AND(I174&lt;&gt;"",J174=""),"Próximo passo sem data",""))))))</f>
        <v/>
      </c>
    </row>
    <row r="175" customFormat="false" ht="15" hidden="false" customHeight="false" outlineLevel="0" collapsed="false">
      <c r="A175" s="21"/>
      <c r="B175" s="17"/>
      <c r="C175" s="17"/>
      <c r="D175" s="19"/>
      <c r="E175" s="20"/>
      <c r="F175" s="20"/>
      <c r="G175" s="20"/>
      <c r="H175" s="20"/>
      <c r="I175" s="17"/>
      <c r="J175" s="21"/>
      <c r="K175" s="20"/>
      <c r="L175" s="17"/>
      <c r="M175" s="20"/>
      <c r="N175" s="20"/>
      <c r="O175" s="17"/>
      <c r="P175" s="22" t="str">
        <f aca="false">IF(C175="","",IF(AND(M175="Sim",N175=""),"Agarrada sem motivo declarado",IF(AND(H175="Sim",I175=""),"Traciona hoje sem próximo passo",IF(AND(O175&lt;&gt;"",O175&gt;=14),"Parada há 14 dias ou mais",IF(AND(M175="Sim",O175&lt;&gt;"",O175&gt;=7),"Agarrada há 7 dias, escalar",IF(AND(I175&lt;&gt;"",J175=""),"Próximo passo sem data",""))))))</f>
        <v/>
      </c>
    </row>
    <row r="176" customFormat="false" ht="15" hidden="false" customHeight="false" outlineLevel="0" collapsed="false">
      <c r="A176" s="21"/>
      <c r="B176" s="17"/>
      <c r="C176" s="17"/>
      <c r="D176" s="19"/>
      <c r="E176" s="20"/>
      <c r="F176" s="20"/>
      <c r="G176" s="20"/>
      <c r="H176" s="20"/>
      <c r="I176" s="17"/>
      <c r="J176" s="21"/>
      <c r="K176" s="20"/>
      <c r="L176" s="17"/>
      <c r="M176" s="20"/>
      <c r="N176" s="20"/>
      <c r="O176" s="17"/>
      <c r="P176" s="22" t="str">
        <f aca="false">IF(C176="","",IF(AND(M176="Sim",N176=""),"Agarrada sem motivo declarado",IF(AND(H176="Sim",I176=""),"Traciona hoje sem próximo passo",IF(AND(O176&lt;&gt;"",O176&gt;=14),"Parada há 14 dias ou mais",IF(AND(M176="Sim",O176&lt;&gt;"",O176&gt;=7),"Agarrada há 7 dias, escalar",IF(AND(I176&lt;&gt;"",J176=""),"Próximo passo sem data",""))))))</f>
        <v/>
      </c>
    </row>
    <row r="177" customFormat="false" ht="15" hidden="false" customHeight="false" outlineLevel="0" collapsed="false">
      <c r="A177" s="21"/>
      <c r="B177" s="17"/>
      <c r="C177" s="17"/>
      <c r="D177" s="19"/>
      <c r="E177" s="20"/>
      <c r="F177" s="20"/>
      <c r="G177" s="20"/>
      <c r="H177" s="20"/>
      <c r="I177" s="17"/>
      <c r="J177" s="21"/>
      <c r="K177" s="20"/>
      <c r="L177" s="17"/>
      <c r="M177" s="20"/>
      <c r="N177" s="20"/>
      <c r="O177" s="17"/>
      <c r="P177" s="22" t="str">
        <f aca="false">IF(C177="","",IF(AND(M177="Sim",N177=""),"Agarrada sem motivo declarado",IF(AND(H177="Sim",I177=""),"Traciona hoje sem próximo passo",IF(AND(O177&lt;&gt;"",O177&gt;=14),"Parada há 14 dias ou mais",IF(AND(M177="Sim",O177&lt;&gt;"",O177&gt;=7),"Agarrada há 7 dias, escalar",IF(AND(I177&lt;&gt;"",J177=""),"Próximo passo sem data",""))))))</f>
        <v/>
      </c>
    </row>
    <row r="178" customFormat="false" ht="15" hidden="false" customHeight="false" outlineLevel="0" collapsed="false">
      <c r="A178" s="21"/>
      <c r="B178" s="17"/>
      <c r="C178" s="17"/>
      <c r="D178" s="19"/>
      <c r="E178" s="20"/>
      <c r="F178" s="20"/>
      <c r="G178" s="20"/>
      <c r="H178" s="20"/>
      <c r="I178" s="17"/>
      <c r="J178" s="21"/>
      <c r="K178" s="20"/>
      <c r="L178" s="17"/>
      <c r="M178" s="20"/>
      <c r="N178" s="20"/>
      <c r="O178" s="17"/>
      <c r="P178" s="22" t="str">
        <f aca="false">IF(C178="","",IF(AND(M178="Sim",N178=""),"Agarrada sem motivo declarado",IF(AND(H178="Sim",I178=""),"Traciona hoje sem próximo passo",IF(AND(O178&lt;&gt;"",O178&gt;=14),"Parada há 14 dias ou mais",IF(AND(M178="Sim",O178&lt;&gt;"",O178&gt;=7),"Agarrada há 7 dias, escalar",IF(AND(I178&lt;&gt;"",J178=""),"Próximo passo sem data",""))))))</f>
        <v/>
      </c>
    </row>
    <row r="179" customFormat="false" ht="15" hidden="false" customHeight="false" outlineLevel="0" collapsed="false">
      <c r="A179" s="21"/>
      <c r="B179" s="17"/>
      <c r="C179" s="17"/>
      <c r="D179" s="19"/>
      <c r="E179" s="20"/>
      <c r="F179" s="20"/>
      <c r="G179" s="20"/>
      <c r="H179" s="20"/>
      <c r="I179" s="17"/>
      <c r="J179" s="21"/>
      <c r="K179" s="20"/>
      <c r="L179" s="17"/>
      <c r="M179" s="20"/>
      <c r="N179" s="20"/>
      <c r="O179" s="17"/>
      <c r="P179" s="22" t="str">
        <f aca="false">IF(C179="","",IF(AND(M179="Sim",N179=""),"Agarrada sem motivo declarado",IF(AND(H179="Sim",I179=""),"Traciona hoje sem próximo passo",IF(AND(O179&lt;&gt;"",O179&gt;=14),"Parada há 14 dias ou mais",IF(AND(M179="Sim",O179&lt;&gt;"",O179&gt;=7),"Agarrada há 7 dias, escalar",IF(AND(I179&lt;&gt;"",J179=""),"Próximo passo sem data",""))))))</f>
        <v/>
      </c>
    </row>
    <row r="180" customFormat="false" ht="15" hidden="false" customHeight="false" outlineLevel="0" collapsed="false">
      <c r="A180" s="21"/>
      <c r="B180" s="17"/>
      <c r="C180" s="17"/>
      <c r="D180" s="19"/>
      <c r="E180" s="20"/>
      <c r="F180" s="20"/>
      <c r="G180" s="20"/>
      <c r="H180" s="20"/>
      <c r="I180" s="17"/>
      <c r="J180" s="21"/>
      <c r="K180" s="20"/>
      <c r="L180" s="17"/>
      <c r="M180" s="20"/>
      <c r="N180" s="20"/>
      <c r="O180" s="17"/>
      <c r="P180" s="22" t="str">
        <f aca="false">IF(C180="","",IF(AND(M180="Sim",N180=""),"Agarrada sem motivo declarado",IF(AND(H180="Sim",I180=""),"Traciona hoje sem próximo passo",IF(AND(O180&lt;&gt;"",O180&gt;=14),"Parada há 14 dias ou mais",IF(AND(M180="Sim",O180&lt;&gt;"",O180&gt;=7),"Agarrada há 7 dias, escalar",IF(AND(I180&lt;&gt;"",J180=""),"Próximo passo sem data",""))))))</f>
        <v/>
      </c>
    </row>
    <row r="181" customFormat="false" ht="15" hidden="false" customHeight="false" outlineLevel="0" collapsed="false">
      <c r="A181" s="21"/>
      <c r="B181" s="17"/>
      <c r="C181" s="17"/>
      <c r="D181" s="19"/>
      <c r="E181" s="20"/>
      <c r="F181" s="20"/>
      <c r="G181" s="20"/>
      <c r="H181" s="20"/>
      <c r="I181" s="17"/>
      <c r="J181" s="21"/>
      <c r="K181" s="20"/>
      <c r="L181" s="17"/>
      <c r="M181" s="20"/>
      <c r="N181" s="20"/>
      <c r="O181" s="17"/>
      <c r="P181" s="22" t="str">
        <f aca="false">IF(C181="","",IF(AND(M181="Sim",N181=""),"Agarrada sem motivo declarado",IF(AND(H181="Sim",I181=""),"Traciona hoje sem próximo passo",IF(AND(O181&lt;&gt;"",O181&gt;=14),"Parada há 14 dias ou mais",IF(AND(M181="Sim",O181&lt;&gt;"",O181&gt;=7),"Agarrada há 7 dias, escalar",IF(AND(I181&lt;&gt;"",J181=""),"Próximo passo sem data",""))))))</f>
        <v/>
      </c>
    </row>
    <row r="182" customFormat="false" ht="15" hidden="false" customHeight="false" outlineLevel="0" collapsed="false">
      <c r="A182" s="21"/>
      <c r="B182" s="17"/>
      <c r="C182" s="17"/>
      <c r="D182" s="19"/>
      <c r="E182" s="20"/>
      <c r="F182" s="20"/>
      <c r="G182" s="20"/>
      <c r="H182" s="20"/>
      <c r="I182" s="17"/>
      <c r="J182" s="21"/>
      <c r="K182" s="20"/>
      <c r="L182" s="17"/>
      <c r="M182" s="20"/>
      <c r="N182" s="20"/>
      <c r="O182" s="17"/>
      <c r="P182" s="22" t="str">
        <f aca="false">IF(C182="","",IF(AND(M182="Sim",N182=""),"Agarrada sem motivo declarado",IF(AND(H182="Sim",I182=""),"Traciona hoje sem próximo passo",IF(AND(O182&lt;&gt;"",O182&gt;=14),"Parada há 14 dias ou mais",IF(AND(M182="Sim",O182&lt;&gt;"",O182&gt;=7),"Agarrada há 7 dias, escalar",IF(AND(I182&lt;&gt;"",J182=""),"Próximo passo sem data",""))))))</f>
        <v/>
      </c>
    </row>
    <row r="183" customFormat="false" ht="15" hidden="false" customHeight="false" outlineLevel="0" collapsed="false">
      <c r="A183" s="21"/>
      <c r="B183" s="17"/>
      <c r="C183" s="17"/>
      <c r="D183" s="19"/>
      <c r="E183" s="20"/>
      <c r="F183" s="20"/>
      <c r="G183" s="20"/>
      <c r="H183" s="20"/>
      <c r="I183" s="17"/>
      <c r="J183" s="21"/>
      <c r="K183" s="20"/>
      <c r="L183" s="17"/>
      <c r="M183" s="20"/>
      <c r="N183" s="20"/>
      <c r="O183" s="17"/>
      <c r="P183" s="22" t="str">
        <f aca="false">IF(C183="","",IF(AND(M183="Sim",N183=""),"Agarrada sem motivo declarado",IF(AND(H183="Sim",I183=""),"Traciona hoje sem próximo passo",IF(AND(O183&lt;&gt;"",O183&gt;=14),"Parada há 14 dias ou mais",IF(AND(M183="Sim",O183&lt;&gt;"",O183&gt;=7),"Agarrada há 7 dias, escalar",IF(AND(I183&lt;&gt;"",J183=""),"Próximo passo sem data",""))))))</f>
        <v/>
      </c>
    </row>
    <row r="184" customFormat="false" ht="15" hidden="false" customHeight="false" outlineLevel="0" collapsed="false">
      <c r="A184" s="21"/>
      <c r="B184" s="17"/>
      <c r="C184" s="17"/>
      <c r="D184" s="19"/>
      <c r="E184" s="20"/>
      <c r="F184" s="20"/>
      <c r="G184" s="20"/>
      <c r="H184" s="20"/>
      <c r="I184" s="17"/>
      <c r="J184" s="21"/>
      <c r="K184" s="20"/>
      <c r="L184" s="17"/>
      <c r="M184" s="20"/>
      <c r="N184" s="20"/>
      <c r="O184" s="17"/>
      <c r="P184" s="22" t="str">
        <f aca="false">IF(C184="","",IF(AND(M184="Sim",N184=""),"Agarrada sem motivo declarado",IF(AND(H184="Sim",I184=""),"Traciona hoje sem próximo passo",IF(AND(O184&lt;&gt;"",O184&gt;=14),"Parada há 14 dias ou mais",IF(AND(M184="Sim",O184&lt;&gt;"",O184&gt;=7),"Agarrada há 7 dias, escalar",IF(AND(I184&lt;&gt;"",J184=""),"Próximo passo sem data",""))))))</f>
        <v/>
      </c>
    </row>
    <row r="185" customFormat="false" ht="15" hidden="false" customHeight="false" outlineLevel="0" collapsed="false">
      <c r="A185" s="21"/>
      <c r="B185" s="17"/>
      <c r="C185" s="17"/>
      <c r="D185" s="19"/>
      <c r="E185" s="20"/>
      <c r="F185" s="20"/>
      <c r="G185" s="20"/>
      <c r="H185" s="20"/>
      <c r="I185" s="17"/>
      <c r="J185" s="21"/>
      <c r="K185" s="20"/>
      <c r="L185" s="17"/>
      <c r="M185" s="20"/>
      <c r="N185" s="20"/>
      <c r="O185" s="17"/>
      <c r="P185" s="22" t="str">
        <f aca="false">IF(C185="","",IF(AND(M185="Sim",N185=""),"Agarrada sem motivo declarado",IF(AND(H185="Sim",I185=""),"Traciona hoje sem próximo passo",IF(AND(O185&lt;&gt;"",O185&gt;=14),"Parada há 14 dias ou mais",IF(AND(M185="Sim",O185&lt;&gt;"",O185&gt;=7),"Agarrada há 7 dias, escalar",IF(AND(I185&lt;&gt;"",J185=""),"Próximo passo sem data",""))))))</f>
        <v/>
      </c>
    </row>
    <row r="186" customFormat="false" ht="15" hidden="false" customHeight="false" outlineLevel="0" collapsed="false">
      <c r="A186" s="21"/>
      <c r="B186" s="17"/>
      <c r="C186" s="17"/>
      <c r="D186" s="19"/>
      <c r="E186" s="20"/>
      <c r="F186" s="20"/>
      <c r="G186" s="20"/>
      <c r="H186" s="20"/>
      <c r="I186" s="17"/>
      <c r="J186" s="21"/>
      <c r="K186" s="20"/>
      <c r="L186" s="17"/>
      <c r="M186" s="20"/>
      <c r="N186" s="20"/>
      <c r="O186" s="17"/>
      <c r="P186" s="22" t="str">
        <f aca="false">IF(C186="","",IF(AND(M186="Sim",N186=""),"Agarrada sem motivo declarado",IF(AND(H186="Sim",I186=""),"Traciona hoje sem próximo passo",IF(AND(O186&lt;&gt;"",O186&gt;=14),"Parada há 14 dias ou mais",IF(AND(M186="Sim",O186&lt;&gt;"",O186&gt;=7),"Agarrada há 7 dias, escalar",IF(AND(I186&lt;&gt;"",J186=""),"Próximo passo sem data",""))))))</f>
        <v/>
      </c>
    </row>
    <row r="187" customFormat="false" ht="15" hidden="false" customHeight="false" outlineLevel="0" collapsed="false">
      <c r="A187" s="21"/>
      <c r="B187" s="17"/>
      <c r="C187" s="17"/>
      <c r="D187" s="19"/>
      <c r="E187" s="20"/>
      <c r="F187" s="20"/>
      <c r="G187" s="20"/>
      <c r="H187" s="20"/>
      <c r="I187" s="17"/>
      <c r="J187" s="21"/>
      <c r="K187" s="20"/>
      <c r="L187" s="17"/>
      <c r="M187" s="20"/>
      <c r="N187" s="20"/>
      <c r="O187" s="17"/>
      <c r="P187" s="22" t="str">
        <f aca="false">IF(C187="","",IF(AND(M187="Sim",N187=""),"Agarrada sem motivo declarado",IF(AND(H187="Sim",I187=""),"Traciona hoje sem próximo passo",IF(AND(O187&lt;&gt;"",O187&gt;=14),"Parada há 14 dias ou mais",IF(AND(M187="Sim",O187&lt;&gt;"",O187&gt;=7),"Agarrada há 7 dias, escalar",IF(AND(I187&lt;&gt;"",J187=""),"Próximo passo sem data",""))))))</f>
        <v/>
      </c>
    </row>
    <row r="188" customFormat="false" ht="15" hidden="false" customHeight="false" outlineLevel="0" collapsed="false">
      <c r="A188" s="21"/>
      <c r="B188" s="17"/>
      <c r="C188" s="17"/>
      <c r="D188" s="19"/>
      <c r="E188" s="20"/>
      <c r="F188" s="20"/>
      <c r="G188" s="20"/>
      <c r="H188" s="20"/>
      <c r="I188" s="17"/>
      <c r="J188" s="21"/>
      <c r="K188" s="20"/>
      <c r="L188" s="17"/>
      <c r="M188" s="20"/>
      <c r="N188" s="20"/>
      <c r="O188" s="17"/>
      <c r="P188" s="22" t="str">
        <f aca="false">IF(C188="","",IF(AND(M188="Sim",N188=""),"Agarrada sem motivo declarado",IF(AND(H188="Sim",I188=""),"Traciona hoje sem próximo passo",IF(AND(O188&lt;&gt;"",O188&gt;=14),"Parada há 14 dias ou mais",IF(AND(M188="Sim",O188&lt;&gt;"",O188&gt;=7),"Agarrada há 7 dias, escalar",IF(AND(I188&lt;&gt;"",J188=""),"Próximo passo sem data",""))))))</f>
        <v/>
      </c>
    </row>
    <row r="189" customFormat="false" ht="15" hidden="false" customHeight="false" outlineLevel="0" collapsed="false">
      <c r="A189" s="21"/>
      <c r="B189" s="17"/>
      <c r="C189" s="17"/>
      <c r="D189" s="19"/>
      <c r="E189" s="20"/>
      <c r="F189" s="20"/>
      <c r="G189" s="20"/>
      <c r="H189" s="20"/>
      <c r="I189" s="17"/>
      <c r="J189" s="21"/>
      <c r="K189" s="20"/>
      <c r="L189" s="17"/>
      <c r="M189" s="20"/>
      <c r="N189" s="20"/>
      <c r="O189" s="17"/>
      <c r="P189" s="22" t="str">
        <f aca="false">IF(C189="","",IF(AND(M189="Sim",N189=""),"Agarrada sem motivo declarado",IF(AND(H189="Sim",I189=""),"Traciona hoje sem próximo passo",IF(AND(O189&lt;&gt;"",O189&gt;=14),"Parada há 14 dias ou mais",IF(AND(M189="Sim",O189&lt;&gt;"",O189&gt;=7),"Agarrada há 7 dias, escalar",IF(AND(I189&lt;&gt;"",J189=""),"Próximo passo sem data",""))))))</f>
        <v/>
      </c>
    </row>
    <row r="190" customFormat="false" ht="15" hidden="false" customHeight="false" outlineLevel="0" collapsed="false">
      <c r="A190" s="21"/>
      <c r="B190" s="17"/>
      <c r="C190" s="17"/>
      <c r="D190" s="19"/>
      <c r="E190" s="20"/>
      <c r="F190" s="20"/>
      <c r="G190" s="20"/>
      <c r="H190" s="20"/>
      <c r="I190" s="17"/>
      <c r="J190" s="21"/>
      <c r="K190" s="20"/>
      <c r="L190" s="17"/>
      <c r="M190" s="20"/>
      <c r="N190" s="20"/>
      <c r="O190" s="17"/>
      <c r="P190" s="22" t="str">
        <f aca="false">IF(C190="","",IF(AND(M190="Sim",N190=""),"Agarrada sem motivo declarado",IF(AND(H190="Sim",I190=""),"Traciona hoje sem próximo passo",IF(AND(O190&lt;&gt;"",O190&gt;=14),"Parada há 14 dias ou mais",IF(AND(M190="Sim",O190&lt;&gt;"",O190&gt;=7),"Agarrada há 7 dias, escalar",IF(AND(I190&lt;&gt;"",J190=""),"Próximo passo sem data",""))))))</f>
        <v/>
      </c>
    </row>
    <row r="191" customFormat="false" ht="15" hidden="false" customHeight="false" outlineLevel="0" collapsed="false">
      <c r="A191" s="21"/>
      <c r="B191" s="17"/>
      <c r="C191" s="17"/>
      <c r="D191" s="19"/>
      <c r="E191" s="20"/>
      <c r="F191" s="20"/>
      <c r="G191" s="20"/>
      <c r="H191" s="20"/>
      <c r="I191" s="17"/>
      <c r="J191" s="21"/>
      <c r="K191" s="20"/>
      <c r="L191" s="17"/>
      <c r="M191" s="20"/>
      <c r="N191" s="20"/>
      <c r="O191" s="17"/>
      <c r="P191" s="22" t="str">
        <f aca="false">IF(C191="","",IF(AND(M191="Sim",N191=""),"Agarrada sem motivo declarado",IF(AND(H191="Sim",I191=""),"Traciona hoje sem próximo passo",IF(AND(O191&lt;&gt;"",O191&gt;=14),"Parada há 14 dias ou mais",IF(AND(M191="Sim",O191&lt;&gt;"",O191&gt;=7),"Agarrada há 7 dias, escalar",IF(AND(I191&lt;&gt;"",J191=""),"Próximo passo sem data",""))))))</f>
        <v/>
      </c>
    </row>
    <row r="192" customFormat="false" ht="15" hidden="false" customHeight="false" outlineLevel="0" collapsed="false">
      <c r="A192" s="21"/>
      <c r="B192" s="17"/>
      <c r="C192" s="17"/>
      <c r="D192" s="19"/>
      <c r="E192" s="20"/>
      <c r="F192" s="20"/>
      <c r="G192" s="20"/>
      <c r="H192" s="20"/>
      <c r="I192" s="17"/>
      <c r="J192" s="21"/>
      <c r="K192" s="20"/>
      <c r="L192" s="17"/>
      <c r="M192" s="20"/>
      <c r="N192" s="20"/>
      <c r="O192" s="17"/>
      <c r="P192" s="22" t="str">
        <f aca="false">IF(C192="","",IF(AND(M192="Sim",N192=""),"Agarrada sem motivo declarado",IF(AND(H192="Sim",I192=""),"Traciona hoje sem próximo passo",IF(AND(O192&lt;&gt;"",O192&gt;=14),"Parada há 14 dias ou mais",IF(AND(M192="Sim",O192&lt;&gt;"",O192&gt;=7),"Agarrada há 7 dias, escalar",IF(AND(I192&lt;&gt;"",J192=""),"Próximo passo sem data",""))))))</f>
        <v/>
      </c>
    </row>
    <row r="193" customFormat="false" ht="15" hidden="false" customHeight="false" outlineLevel="0" collapsed="false">
      <c r="A193" s="21"/>
      <c r="B193" s="17"/>
      <c r="C193" s="17"/>
      <c r="D193" s="19"/>
      <c r="E193" s="20"/>
      <c r="F193" s="20"/>
      <c r="G193" s="20"/>
      <c r="H193" s="20"/>
      <c r="I193" s="17"/>
      <c r="J193" s="21"/>
      <c r="K193" s="20"/>
      <c r="L193" s="17"/>
      <c r="M193" s="20"/>
      <c r="N193" s="20"/>
      <c r="O193" s="17"/>
      <c r="P193" s="22" t="str">
        <f aca="false">IF(C193="","",IF(AND(M193="Sim",N193=""),"Agarrada sem motivo declarado",IF(AND(H193="Sim",I193=""),"Traciona hoje sem próximo passo",IF(AND(O193&lt;&gt;"",O193&gt;=14),"Parada há 14 dias ou mais",IF(AND(M193="Sim",O193&lt;&gt;"",O193&gt;=7),"Agarrada há 7 dias, escalar",IF(AND(I193&lt;&gt;"",J193=""),"Próximo passo sem data",""))))))</f>
        <v/>
      </c>
    </row>
    <row r="194" customFormat="false" ht="15" hidden="false" customHeight="false" outlineLevel="0" collapsed="false">
      <c r="A194" s="21"/>
      <c r="B194" s="17"/>
      <c r="C194" s="17"/>
      <c r="D194" s="19"/>
      <c r="E194" s="20"/>
      <c r="F194" s="20"/>
      <c r="G194" s="20"/>
      <c r="H194" s="20"/>
      <c r="I194" s="17"/>
      <c r="J194" s="21"/>
      <c r="K194" s="20"/>
      <c r="L194" s="17"/>
      <c r="M194" s="20"/>
      <c r="N194" s="20"/>
      <c r="O194" s="17"/>
      <c r="P194" s="22" t="str">
        <f aca="false">IF(C194="","",IF(AND(M194="Sim",N194=""),"Agarrada sem motivo declarado",IF(AND(H194="Sim",I194=""),"Traciona hoje sem próximo passo",IF(AND(O194&lt;&gt;"",O194&gt;=14),"Parada há 14 dias ou mais",IF(AND(M194="Sim",O194&lt;&gt;"",O194&gt;=7),"Agarrada há 7 dias, escalar",IF(AND(I194&lt;&gt;"",J194=""),"Próximo passo sem data",""))))))</f>
        <v/>
      </c>
    </row>
    <row r="195" customFormat="false" ht="15" hidden="false" customHeight="false" outlineLevel="0" collapsed="false">
      <c r="A195" s="21"/>
      <c r="B195" s="17"/>
      <c r="C195" s="17"/>
      <c r="D195" s="19"/>
      <c r="E195" s="20"/>
      <c r="F195" s="20"/>
      <c r="G195" s="20"/>
      <c r="H195" s="20"/>
      <c r="I195" s="17"/>
      <c r="J195" s="21"/>
      <c r="K195" s="20"/>
      <c r="L195" s="17"/>
      <c r="M195" s="20"/>
      <c r="N195" s="20"/>
      <c r="O195" s="17"/>
      <c r="P195" s="22" t="str">
        <f aca="false">IF(C195="","",IF(AND(M195="Sim",N195=""),"Agarrada sem motivo declarado",IF(AND(H195="Sim",I195=""),"Traciona hoje sem próximo passo",IF(AND(O195&lt;&gt;"",O195&gt;=14),"Parada há 14 dias ou mais",IF(AND(M195="Sim",O195&lt;&gt;"",O195&gt;=7),"Agarrada há 7 dias, escalar",IF(AND(I195&lt;&gt;"",J195=""),"Próximo passo sem data",""))))))</f>
        <v/>
      </c>
    </row>
    <row r="196" customFormat="false" ht="15" hidden="false" customHeight="false" outlineLevel="0" collapsed="false">
      <c r="A196" s="21"/>
      <c r="B196" s="17"/>
      <c r="C196" s="17"/>
      <c r="D196" s="19"/>
      <c r="E196" s="20"/>
      <c r="F196" s="20"/>
      <c r="G196" s="20"/>
      <c r="H196" s="20"/>
      <c r="I196" s="17"/>
      <c r="J196" s="21"/>
      <c r="K196" s="20"/>
      <c r="L196" s="17"/>
      <c r="M196" s="20"/>
      <c r="N196" s="20"/>
      <c r="O196" s="17"/>
      <c r="P196" s="22" t="str">
        <f aca="false">IF(C196="","",IF(AND(M196="Sim",N196=""),"Agarrada sem motivo declarado",IF(AND(H196="Sim",I196=""),"Traciona hoje sem próximo passo",IF(AND(O196&lt;&gt;"",O196&gt;=14),"Parada há 14 dias ou mais",IF(AND(M196="Sim",O196&lt;&gt;"",O196&gt;=7),"Agarrada há 7 dias, escalar",IF(AND(I196&lt;&gt;"",J196=""),"Próximo passo sem data",""))))))</f>
        <v/>
      </c>
    </row>
    <row r="197" customFormat="false" ht="15" hidden="false" customHeight="false" outlineLevel="0" collapsed="false">
      <c r="A197" s="21"/>
      <c r="B197" s="17"/>
      <c r="C197" s="17"/>
      <c r="D197" s="19"/>
      <c r="E197" s="20"/>
      <c r="F197" s="20"/>
      <c r="G197" s="20"/>
      <c r="H197" s="20"/>
      <c r="I197" s="17"/>
      <c r="J197" s="21"/>
      <c r="K197" s="20"/>
      <c r="L197" s="17"/>
      <c r="M197" s="20"/>
      <c r="N197" s="20"/>
      <c r="O197" s="17"/>
      <c r="P197" s="22" t="str">
        <f aca="false">IF(C197="","",IF(AND(M197="Sim",N197=""),"Agarrada sem motivo declarado",IF(AND(H197="Sim",I197=""),"Traciona hoje sem próximo passo",IF(AND(O197&lt;&gt;"",O197&gt;=14),"Parada há 14 dias ou mais",IF(AND(M197="Sim",O197&lt;&gt;"",O197&gt;=7),"Agarrada há 7 dias, escalar",IF(AND(I197&lt;&gt;"",J197=""),"Próximo passo sem data",""))))))</f>
        <v/>
      </c>
    </row>
    <row r="198" customFormat="false" ht="15" hidden="false" customHeight="false" outlineLevel="0" collapsed="false">
      <c r="A198" s="21"/>
      <c r="B198" s="17"/>
      <c r="C198" s="17"/>
      <c r="D198" s="19"/>
      <c r="E198" s="20"/>
      <c r="F198" s="20"/>
      <c r="G198" s="20"/>
      <c r="H198" s="20"/>
      <c r="I198" s="17"/>
      <c r="J198" s="21"/>
      <c r="K198" s="20"/>
      <c r="L198" s="17"/>
      <c r="M198" s="20"/>
      <c r="N198" s="20"/>
      <c r="O198" s="17"/>
      <c r="P198" s="22" t="str">
        <f aca="false">IF(C198="","",IF(AND(M198="Sim",N198=""),"Agarrada sem motivo declarado",IF(AND(H198="Sim",I198=""),"Traciona hoje sem próximo passo",IF(AND(O198&lt;&gt;"",O198&gt;=14),"Parada há 14 dias ou mais",IF(AND(M198="Sim",O198&lt;&gt;"",O198&gt;=7),"Agarrada há 7 dias, escalar",IF(AND(I198&lt;&gt;"",J198=""),"Próximo passo sem data",""))))))</f>
        <v/>
      </c>
    </row>
    <row r="199" customFormat="false" ht="15" hidden="false" customHeight="false" outlineLevel="0" collapsed="false">
      <c r="A199" s="21"/>
      <c r="B199" s="17"/>
      <c r="C199" s="17"/>
      <c r="D199" s="19"/>
      <c r="E199" s="20"/>
      <c r="F199" s="20"/>
      <c r="G199" s="20"/>
      <c r="H199" s="20"/>
      <c r="I199" s="17"/>
      <c r="J199" s="21"/>
      <c r="K199" s="20"/>
      <c r="L199" s="17"/>
      <c r="M199" s="20"/>
      <c r="N199" s="20"/>
      <c r="O199" s="17"/>
      <c r="P199" s="22" t="str">
        <f aca="false">IF(C199="","",IF(AND(M199="Sim",N199=""),"Agarrada sem motivo declarado",IF(AND(H199="Sim",I199=""),"Traciona hoje sem próximo passo",IF(AND(O199&lt;&gt;"",O199&gt;=14),"Parada há 14 dias ou mais",IF(AND(M199="Sim",O199&lt;&gt;"",O199&gt;=7),"Agarrada há 7 dias, escalar",IF(AND(I199&lt;&gt;"",J199=""),"Próximo passo sem data",""))))))</f>
        <v/>
      </c>
    </row>
    <row r="200" customFormat="false" ht="15" hidden="false" customHeight="false" outlineLevel="0" collapsed="false">
      <c r="A200" s="21"/>
      <c r="B200" s="17"/>
      <c r="C200" s="17"/>
      <c r="D200" s="19"/>
      <c r="E200" s="20"/>
      <c r="F200" s="20"/>
      <c r="G200" s="20"/>
      <c r="H200" s="20"/>
      <c r="I200" s="17"/>
      <c r="J200" s="21"/>
      <c r="K200" s="20"/>
      <c r="L200" s="17"/>
      <c r="M200" s="20"/>
      <c r="N200" s="20"/>
      <c r="O200" s="17"/>
      <c r="P200" s="22" t="str">
        <f aca="false">IF(C200="","",IF(AND(M200="Sim",N200=""),"Agarrada sem motivo declarado",IF(AND(H200="Sim",I200=""),"Traciona hoje sem próximo passo",IF(AND(O200&lt;&gt;"",O200&gt;=14),"Parada há 14 dias ou mais",IF(AND(M200="Sim",O200&lt;&gt;"",O200&gt;=7),"Agarrada há 7 dias, escalar",IF(AND(I200&lt;&gt;"",J200=""),"Próximo passo sem data",""))))))</f>
        <v/>
      </c>
    </row>
    <row r="201" customFormat="false" ht="15" hidden="false" customHeight="false" outlineLevel="0" collapsed="false">
      <c r="A201" s="21"/>
      <c r="B201" s="17"/>
      <c r="C201" s="17"/>
      <c r="D201" s="19"/>
      <c r="E201" s="20"/>
      <c r="F201" s="20"/>
      <c r="G201" s="20"/>
      <c r="H201" s="20"/>
      <c r="I201" s="17"/>
      <c r="J201" s="21"/>
      <c r="K201" s="20"/>
      <c r="L201" s="17"/>
      <c r="M201" s="20"/>
      <c r="N201" s="20"/>
      <c r="O201" s="17"/>
      <c r="P201" s="22" t="str">
        <f aca="false">IF(C201="","",IF(AND(M201="Sim",N201=""),"Agarrada sem motivo declarado",IF(AND(H201="Sim",I201=""),"Traciona hoje sem próximo passo",IF(AND(O201&lt;&gt;"",O201&gt;=14),"Parada há 14 dias ou mais",IF(AND(M201="Sim",O201&lt;&gt;"",O201&gt;=7),"Agarrada há 7 dias, escalar",IF(AND(I201&lt;&gt;"",J201=""),"Próximo passo sem data",""))))))</f>
        <v/>
      </c>
    </row>
    <row r="202" customFormat="false" ht="15" hidden="false" customHeight="false" outlineLevel="0" collapsed="false">
      <c r="A202" s="21"/>
      <c r="B202" s="17"/>
      <c r="C202" s="17"/>
      <c r="D202" s="19"/>
      <c r="E202" s="20"/>
      <c r="F202" s="20"/>
      <c r="G202" s="20"/>
      <c r="H202" s="20"/>
      <c r="I202" s="17"/>
      <c r="J202" s="21"/>
      <c r="K202" s="20"/>
      <c r="L202" s="17"/>
      <c r="M202" s="20"/>
      <c r="N202" s="20"/>
      <c r="O202" s="17"/>
      <c r="P202" s="22" t="str">
        <f aca="false">IF(C202="","",IF(AND(M202="Sim",N202=""),"Agarrada sem motivo declarado",IF(AND(H202="Sim",I202=""),"Traciona hoje sem próximo passo",IF(AND(O202&lt;&gt;"",O202&gt;=14),"Parada há 14 dias ou mais",IF(AND(M202="Sim",O202&lt;&gt;"",O202&gt;=7),"Agarrada há 7 dias, escalar",IF(AND(I202&lt;&gt;"",J202=""),"Próximo passo sem data",""))))))</f>
        <v/>
      </c>
    </row>
    <row r="203" customFormat="false" ht="15" hidden="false" customHeight="false" outlineLevel="0" collapsed="false">
      <c r="A203" s="21"/>
      <c r="B203" s="17"/>
      <c r="C203" s="17"/>
      <c r="D203" s="19"/>
      <c r="E203" s="20"/>
      <c r="F203" s="20"/>
      <c r="G203" s="20"/>
      <c r="H203" s="20"/>
      <c r="I203" s="17"/>
      <c r="J203" s="21"/>
      <c r="K203" s="20"/>
      <c r="L203" s="17"/>
      <c r="M203" s="20"/>
      <c r="N203" s="20"/>
      <c r="O203" s="17"/>
      <c r="P203" s="22" t="str">
        <f aca="false">IF(C203="","",IF(AND(M203="Sim",N203=""),"Agarrada sem motivo declarado",IF(AND(H203="Sim",I203=""),"Traciona hoje sem próximo passo",IF(AND(O203&lt;&gt;"",O203&gt;=14),"Parada há 14 dias ou mais",IF(AND(M203="Sim",O203&lt;&gt;"",O203&gt;=7),"Agarrada há 7 dias, escalar",IF(AND(I203&lt;&gt;"",J203=""),"Próximo passo sem data",""))))))</f>
        <v/>
      </c>
    </row>
    <row r="204" customFormat="false" ht="15" hidden="false" customHeight="false" outlineLevel="0" collapsed="false">
      <c r="A204" s="21"/>
      <c r="B204" s="17"/>
      <c r="C204" s="17"/>
      <c r="D204" s="19"/>
      <c r="E204" s="20"/>
      <c r="F204" s="20"/>
      <c r="G204" s="20"/>
      <c r="H204" s="20"/>
      <c r="I204" s="17"/>
      <c r="J204" s="21"/>
      <c r="K204" s="20"/>
      <c r="L204" s="17"/>
      <c r="M204" s="20"/>
      <c r="N204" s="20"/>
      <c r="O204" s="17"/>
      <c r="P204" s="22" t="str">
        <f aca="false">IF(C204="","",IF(AND(M204="Sim",N204=""),"Agarrada sem motivo declarado",IF(AND(H204="Sim",I204=""),"Traciona hoje sem próximo passo",IF(AND(O204&lt;&gt;"",O204&gt;=14),"Parada há 14 dias ou mais",IF(AND(M204="Sim",O204&lt;&gt;"",O204&gt;=7),"Agarrada há 7 dias, escalar",IF(AND(I204&lt;&gt;"",J204=""),"Próximo passo sem data",""))))))</f>
        <v/>
      </c>
    </row>
    <row r="205" customFormat="false" ht="15" hidden="false" customHeight="false" outlineLevel="0" collapsed="false">
      <c r="A205" s="21"/>
      <c r="B205" s="17"/>
      <c r="C205" s="17"/>
      <c r="D205" s="19"/>
      <c r="E205" s="20"/>
      <c r="F205" s="20"/>
      <c r="G205" s="20"/>
      <c r="H205" s="20"/>
      <c r="I205" s="17"/>
      <c r="J205" s="21"/>
      <c r="K205" s="20"/>
      <c r="L205" s="17"/>
      <c r="M205" s="20"/>
      <c r="N205" s="20"/>
      <c r="O205" s="17"/>
      <c r="P205" s="22" t="str">
        <f aca="false">IF(C205="","",IF(AND(M205="Sim",N205=""),"Agarrada sem motivo declarado",IF(AND(H205="Sim",I205=""),"Traciona hoje sem próximo passo",IF(AND(O205&lt;&gt;"",O205&gt;=14),"Parada há 14 dias ou mais",IF(AND(M205="Sim",O205&lt;&gt;"",O205&gt;=7),"Agarrada há 7 dias, escalar",IF(AND(I205&lt;&gt;"",J205=""),"Próximo passo sem data",""))))))</f>
        <v/>
      </c>
    </row>
    <row r="206" customFormat="false" ht="15" hidden="false" customHeight="false" outlineLevel="0" collapsed="false">
      <c r="A206" s="21"/>
      <c r="B206" s="17"/>
      <c r="C206" s="17"/>
      <c r="D206" s="19"/>
      <c r="E206" s="20"/>
      <c r="F206" s="20"/>
      <c r="G206" s="20"/>
      <c r="H206" s="20"/>
      <c r="I206" s="17"/>
      <c r="J206" s="21"/>
      <c r="K206" s="20"/>
      <c r="L206" s="17"/>
      <c r="M206" s="20"/>
      <c r="N206" s="20"/>
      <c r="O206" s="17"/>
      <c r="P206" s="22" t="str">
        <f aca="false">IF(C206="","",IF(AND(M206="Sim",N206=""),"Agarrada sem motivo declarado",IF(AND(H206="Sim",I206=""),"Traciona hoje sem próximo passo",IF(AND(O206&lt;&gt;"",O206&gt;=14),"Parada há 14 dias ou mais",IF(AND(M206="Sim",O206&lt;&gt;"",O206&gt;=7),"Agarrada há 7 dias, escalar",IF(AND(I206&lt;&gt;"",J206=""),"Próximo passo sem data",""))))))</f>
        <v/>
      </c>
    </row>
    <row r="207" customFormat="false" ht="15" hidden="false" customHeight="false" outlineLevel="0" collapsed="false">
      <c r="A207" s="21"/>
      <c r="B207" s="17"/>
      <c r="C207" s="17"/>
      <c r="D207" s="19"/>
      <c r="E207" s="20"/>
      <c r="F207" s="20"/>
      <c r="G207" s="20"/>
      <c r="H207" s="20"/>
      <c r="I207" s="17"/>
      <c r="J207" s="21"/>
      <c r="K207" s="20"/>
      <c r="L207" s="17"/>
      <c r="M207" s="20"/>
      <c r="N207" s="20"/>
      <c r="O207" s="17"/>
      <c r="P207" s="22" t="str">
        <f aca="false">IF(C207="","",IF(AND(M207="Sim",N207=""),"Agarrada sem motivo declarado",IF(AND(H207="Sim",I207=""),"Traciona hoje sem próximo passo",IF(AND(O207&lt;&gt;"",O207&gt;=14),"Parada há 14 dias ou mais",IF(AND(M207="Sim",O207&lt;&gt;"",O207&gt;=7),"Agarrada há 7 dias, escalar",IF(AND(I207&lt;&gt;"",J207=""),"Próximo passo sem data",""))))))</f>
        <v/>
      </c>
    </row>
    <row r="208" customFormat="false" ht="15" hidden="false" customHeight="false" outlineLevel="0" collapsed="false">
      <c r="A208" s="21"/>
      <c r="B208" s="17"/>
      <c r="C208" s="17"/>
      <c r="D208" s="19"/>
      <c r="E208" s="20"/>
      <c r="F208" s="20"/>
      <c r="G208" s="20"/>
      <c r="H208" s="20"/>
      <c r="I208" s="17"/>
      <c r="J208" s="21"/>
      <c r="K208" s="20"/>
      <c r="L208" s="17"/>
      <c r="M208" s="20"/>
      <c r="N208" s="20"/>
      <c r="O208" s="17"/>
      <c r="P208" s="22" t="str">
        <f aca="false">IF(C208="","",IF(AND(M208="Sim",N208=""),"Agarrada sem motivo declarado",IF(AND(H208="Sim",I208=""),"Traciona hoje sem próximo passo",IF(AND(O208&lt;&gt;"",O208&gt;=14),"Parada há 14 dias ou mais",IF(AND(M208="Sim",O208&lt;&gt;"",O208&gt;=7),"Agarrada há 7 dias, escalar",IF(AND(I208&lt;&gt;"",J208=""),"Próximo passo sem data",""))))))</f>
        <v/>
      </c>
    </row>
    <row r="209" customFormat="false" ht="15" hidden="false" customHeight="false" outlineLevel="0" collapsed="false">
      <c r="A209" s="21"/>
      <c r="B209" s="17"/>
      <c r="C209" s="17"/>
      <c r="D209" s="19"/>
      <c r="E209" s="20"/>
      <c r="F209" s="20"/>
      <c r="G209" s="20"/>
      <c r="H209" s="20"/>
      <c r="I209" s="17"/>
      <c r="J209" s="21"/>
      <c r="K209" s="20"/>
      <c r="L209" s="17"/>
      <c r="M209" s="20"/>
      <c r="N209" s="20"/>
      <c r="O209" s="17"/>
      <c r="P209" s="22" t="str">
        <f aca="false">IF(C209="","",IF(AND(M209="Sim",N209=""),"Agarrada sem motivo declarado",IF(AND(H209="Sim",I209=""),"Traciona hoje sem próximo passo",IF(AND(O209&lt;&gt;"",O209&gt;=14),"Parada há 14 dias ou mais",IF(AND(M209="Sim",O209&lt;&gt;"",O209&gt;=7),"Agarrada há 7 dias, escalar",IF(AND(I209&lt;&gt;"",J209=""),"Próximo passo sem data",""))))))</f>
        <v/>
      </c>
    </row>
    <row r="210" customFormat="false" ht="15" hidden="false" customHeight="false" outlineLevel="0" collapsed="false">
      <c r="A210" s="21"/>
      <c r="B210" s="17"/>
      <c r="C210" s="17"/>
      <c r="D210" s="19"/>
      <c r="E210" s="20"/>
      <c r="F210" s="20"/>
      <c r="G210" s="20"/>
      <c r="H210" s="20"/>
      <c r="I210" s="17"/>
      <c r="J210" s="21"/>
      <c r="K210" s="20"/>
      <c r="L210" s="17"/>
      <c r="M210" s="20"/>
      <c r="N210" s="20"/>
      <c r="O210" s="17"/>
      <c r="P210" s="22" t="str">
        <f aca="false">IF(C210="","",IF(AND(M210="Sim",N210=""),"Agarrada sem motivo declarado",IF(AND(H210="Sim",I210=""),"Traciona hoje sem próximo passo",IF(AND(O210&lt;&gt;"",O210&gt;=14),"Parada há 14 dias ou mais",IF(AND(M210="Sim",O210&lt;&gt;"",O210&gt;=7),"Agarrada há 7 dias, escalar",IF(AND(I210&lt;&gt;"",J210=""),"Próximo passo sem data",""))))))</f>
        <v/>
      </c>
    </row>
    <row r="211" customFormat="false" ht="15" hidden="false" customHeight="false" outlineLevel="0" collapsed="false">
      <c r="A211" s="21"/>
      <c r="B211" s="17"/>
      <c r="C211" s="17"/>
      <c r="D211" s="19"/>
      <c r="E211" s="20"/>
      <c r="F211" s="20"/>
      <c r="G211" s="20"/>
      <c r="H211" s="20"/>
      <c r="I211" s="17"/>
      <c r="J211" s="21"/>
      <c r="K211" s="20"/>
      <c r="L211" s="17"/>
      <c r="M211" s="20"/>
      <c r="N211" s="20"/>
      <c r="O211" s="17"/>
      <c r="P211" s="22" t="str">
        <f aca="false">IF(C211="","",IF(AND(M211="Sim",N211=""),"Agarrada sem motivo declarado",IF(AND(H211="Sim",I211=""),"Traciona hoje sem próximo passo",IF(AND(O211&lt;&gt;"",O211&gt;=14),"Parada há 14 dias ou mais",IF(AND(M211="Sim",O211&lt;&gt;"",O211&gt;=7),"Agarrada há 7 dias, escalar",IF(AND(I211&lt;&gt;"",J211=""),"Próximo passo sem data",""))))))</f>
        <v/>
      </c>
    </row>
    <row r="212" customFormat="false" ht="15" hidden="false" customHeight="false" outlineLevel="0" collapsed="false">
      <c r="A212" s="21"/>
      <c r="B212" s="17"/>
      <c r="C212" s="17"/>
      <c r="D212" s="19"/>
      <c r="E212" s="20"/>
      <c r="F212" s="20"/>
      <c r="G212" s="20"/>
      <c r="H212" s="20"/>
      <c r="I212" s="17"/>
      <c r="J212" s="21"/>
      <c r="K212" s="20"/>
      <c r="L212" s="17"/>
      <c r="M212" s="20"/>
      <c r="N212" s="20"/>
      <c r="O212" s="17"/>
      <c r="P212" s="22" t="str">
        <f aca="false">IF(C212="","",IF(AND(M212="Sim",N212=""),"Agarrada sem motivo declarado",IF(AND(H212="Sim",I212=""),"Traciona hoje sem próximo passo",IF(AND(O212&lt;&gt;"",O212&gt;=14),"Parada há 14 dias ou mais",IF(AND(M212="Sim",O212&lt;&gt;"",O212&gt;=7),"Agarrada há 7 dias, escalar",IF(AND(I212&lt;&gt;"",J212=""),"Próximo passo sem data",""))))))</f>
        <v/>
      </c>
    </row>
    <row r="213" customFormat="false" ht="15" hidden="false" customHeight="false" outlineLevel="0" collapsed="false">
      <c r="A213" s="21"/>
      <c r="B213" s="17"/>
      <c r="C213" s="17"/>
      <c r="D213" s="19"/>
      <c r="E213" s="20"/>
      <c r="F213" s="20"/>
      <c r="G213" s="20"/>
      <c r="H213" s="20"/>
      <c r="I213" s="17"/>
      <c r="J213" s="21"/>
      <c r="K213" s="20"/>
      <c r="L213" s="17"/>
      <c r="M213" s="20"/>
      <c r="N213" s="20"/>
      <c r="O213" s="17"/>
      <c r="P213" s="22" t="str">
        <f aca="false">IF(C213="","",IF(AND(M213="Sim",N213=""),"Agarrada sem motivo declarado",IF(AND(H213="Sim",I213=""),"Traciona hoje sem próximo passo",IF(AND(O213&lt;&gt;"",O213&gt;=14),"Parada há 14 dias ou mais",IF(AND(M213="Sim",O213&lt;&gt;"",O213&gt;=7),"Agarrada há 7 dias, escalar",IF(AND(I213&lt;&gt;"",J213=""),"Próximo passo sem data",""))))))</f>
        <v/>
      </c>
    </row>
    <row r="214" customFormat="false" ht="15" hidden="false" customHeight="false" outlineLevel="0" collapsed="false">
      <c r="A214" s="21"/>
      <c r="B214" s="17"/>
      <c r="C214" s="17"/>
      <c r="D214" s="19"/>
      <c r="E214" s="20"/>
      <c r="F214" s="20"/>
      <c r="G214" s="20"/>
      <c r="H214" s="20"/>
      <c r="I214" s="17"/>
      <c r="J214" s="21"/>
      <c r="K214" s="20"/>
      <c r="L214" s="17"/>
      <c r="M214" s="20"/>
      <c r="N214" s="20"/>
      <c r="O214" s="17"/>
      <c r="P214" s="22" t="str">
        <f aca="false">IF(C214="","",IF(AND(M214="Sim",N214=""),"Agarrada sem motivo declarado",IF(AND(H214="Sim",I214=""),"Traciona hoje sem próximo passo",IF(AND(O214&lt;&gt;"",O214&gt;=14),"Parada há 14 dias ou mais",IF(AND(M214="Sim",O214&lt;&gt;"",O214&gt;=7),"Agarrada há 7 dias, escalar",IF(AND(I214&lt;&gt;"",J214=""),"Próximo passo sem data",""))))))</f>
        <v/>
      </c>
    </row>
    <row r="215" customFormat="false" ht="15" hidden="false" customHeight="false" outlineLevel="0" collapsed="false">
      <c r="A215" s="21"/>
      <c r="B215" s="17"/>
      <c r="C215" s="17"/>
      <c r="D215" s="19"/>
      <c r="E215" s="20"/>
      <c r="F215" s="20"/>
      <c r="G215" s="20"/>
      <c r="H215" s="20"/>
      <c r="I215" s="17"/>
      <c r="J215" s="21"/>
      <c r="K215" s="20"/>
      <c r="L215" s="17"/>
      <c r="M215" s="20"/>
      <c r="N215" s="20"/>
      <c r="O215" s="17"/>
      <c r="P215" s="22" t="str">
        <f aca="false">IF(C215="","",IF(AND(M215="Sim",N215=""),"Agarrada sem motivo declarado",IF(AND(H215="Sim",I215=""),"Traciona hoje sem próximo passo",IF(AND(O215&lt;&gt;"",O215&gt;=14),"Parada há 14 dias ou mais",IF(AND(M215="Sim",O215&lt;&gt;"",O215&gt;=7),"Agarrada há 7 dias, escalar",IF(AND(I215&lt;&gt;"",J215=""),"Próximo passo sem data",""))))))</f>
        <v/>
      </c>
    </row>
    <row r="216" customFormat="false" ht="15" hidden="false" customHeight="false" outlineLevel="0" collapsed="false">
      <c r="A216" s="21"/>
      <c r="B216" s="17"/>
      <c r="C216" s="17"/>
      <c r="D216" s="19"/>
      <c r="E216" s="20"/>
      <c r="F216" s="20"/>
      <c r="G216" s="20"/>
      <c r="H216" s="20"/>
      <c r="I216" s="17"/>
      <c r="J216" s="21"/>
      <c r="K216" s="20"/>
      <c r="L216" s="17"/>
      <c r="M216" s="20"/>
      <c r="N216" s="20"/>
      <c r="O216" s="17"/>
      <c r="P216" s="22" t="str">
        <f aca="false">IF(C216="","",IF(AND(M216="Sim",N216=""),"Agarrada sem motivo declarado",IF(AND(H216="Sim",I216=""),"Traciona hoje sem próximo passo",IF(AND(O216&lt;&gt;"",O216&gt;=14),"Parada há 14 dias ou mais",IF(AND(M216="Sim",O216&lt;&gt;"",O216&gt;=7),"Agarrada há 7 dias, escalar",IF(AND(I216&lt;&gt;"",J216=""),"Próximo passo sem data",""))))))</f>
        <v/>
      </c>
    </row>
    <row r="217" customFormat="false" ht="15" hidden="false" customHeight="false" outlineLevel="0" collapsed="false">
      <c r="A217" s="21"/>
      <c r="B217" s="17"/>
      <c r="C217" s="17"/>
      <c r="D217" s="19"/>
      <c r="E217" s="20"/>
      <c r="F217" s="20"/>
      <c r="G217" s="20"/>
      <c r="H217" s="20"/>
      <c r="I217" s="17"/>
      <c r="J217" s="21"/>
      <c r="K217" s="20"/>
      <c r="L217" s="17"/>
      <c r="M217" s="20"/>
      <c r="N217" s="20"/>
      <c r="O217" s="17"/>
      <c r="P217" s="22" t="str">
        <f aca="false">IF(C217="","",IF(AND(M217="Sim",N217=""),"Agarrada sem motivo declarado",IF(AND(H217="Sim",I217=""),"Traciona hoje sem próximo passo",IF(AND(O217&lt;&gt;"",O217&gt;=14),"Parada há 14 dias ou mais",IF(AND(M217="Sim",O217&lt;&gt;"",O217&gt;=7),"Agarrada há 7 dias, escalar",IF(AND(I217&lt;&gt;"",J217=""),"Próximo passo sem data",""))))))</f>
        <v/>
      </c>
    </row>
    <row r="218" customFormat="false" ht="15" hidden="false" customHeight="false" outlineLevel="0" collapsed="false">
      <c r="A218" s="21"/>
      <c r="B218" s="17"/>
      <c r="C218" s="17"/>
      <c r="D218" s="19"/>
      <c r="E218" s="20"/>
      <c r="F218" s="20"/>
      <c r="G218" s="20"/>
      <c r="H218" s="20"/>
      <c r="I218" s="17"/>
      <c r="J218" s="21"/>
      <c r="K218" s="20"/>
      <c r="L218" s="17"/>
      <c r="M218" s="20"/>
      <c r="N218" s="20"/>
      <c r="O218" s="17"/>
      <c r="P218" s="22" t="str">
        <f aca="false">IF(C218="","",IF(AND(M218="Sim",N218=""),"Agarrada sem motivo declarado",IF(AND(H218="Sim",I218=""),"Traciona hoje sem próximo passo",IF(AND(O218&lt;&gt;"",O218&gt;=14),"Parada há 14 dias ou mais",IF(AND(M218="Sim",O218&lt;&gt;"",O218&gt;=7),"Agarrada há 7 dias, escalar",IF(AND(I218&lt;&gt;"",J218=""),"Próximo passo sem data",""))))))</f>
        <v/>
      </c>
    </row>
    <row r="219" customFormat="false" ht="15" hidden="false" customHeight="false" outlineLevel="0" collapsed="false">
      <c r="A219" s="21"/>
      <c r="B219" s="17"/>
      <c r="C219" s="17"/>
      <c r="D219" s="19"/>
      <c r="E219" s="20"/>
      <c r="F219" s="20"/>
      <c r="G219" s="20"/>
      <c r="H219" s="20"/>
      <c r="I219" s="17"/>
      <c r="J219" s="21"/>
      <c r="K219" s="20"/>
      <c r="L219" s="17"/>
      <c r="M219" s="20"/>
      <c r="N219" s="20"/>
      <c r="O219" s="17"/>
      <c r="P219" s="22" t="str">
        <f aca="false">IF(C219="","",IF(AND(M219="Sim",N219=""),"Agarrada sem motivo declarado",IF(AND(H219="Sim",I219=""),"Traciona hoje sem próximo passo",IF(AND(O219&lt;&gt;"",O219&gt;=14),"Parada há 14 dias ou mais",IF(AND(M219="Sim",O219&lt;&gt;"",O219&gt;=7),"Agarrada há 7 dias, escalar",IF(AND(I219&lt;&gt;"",J219=""),"Próximo passo sem data",""))))))</f>
        <v/>
      </c>
    </row>
    <row r="220" customFormat="false" ht="15" hidden="false" customHeight="false" outlineLevel="0" collapsed="false">
      <c r="A220" s="21"/>
      <c r="B220" s="17"/>
      <c r="C220" s="17"/>
      <c r="D220" s="19"/>
      <c r="E220" s="20"/>
      <c r="F220" s="20"/>
      <c r="G220" s="20"/>
      <c r="H220" s="20"/>
      <c r="I220" s="17"/>
      <c r="J220" s="21"/>
      <c r="K220" s="20"/>
      <c r="L220" s="17"/>
      <c r="M220" s="20"/>
      <c r="N220" s="20"/>
      <c r="O220" s="17"/>
      <c r="P220" s="22" t="str">
        <f aca="false">IF(C220="","",IF(AND(M220="Sim",N220=""),"Agarrada sem motivo declarado",IF(AND(H220="Sim",I220=""),"Traciona hoje sem próximo passo",IF(AND(O220&lt;&gt;"",O220&gt;=14),"Parada há 14 dias ou mais",IF(AND(M220="Sim",O220&lt;&gt;"",O220&gt;=7),"Agarrada há 7 dias, escalar",IF(AND(I220&lt;&gt;"",J220=""),"Próximo passo sem data",""))))))</f>
        <v/>
      </c>
    </row>
    <row r="221" customFormat="false" ht="15" hidden="false" customHeight="false" outlineLevel="0" collapsed="false">
      <c r="A221" s="21"/>
      <c r="B221" s="17"/>
      <c r="C221" s="17"/>
      <c r="D221" s="19"/>
      <c r="E221" s="20"/>
      <c r="F221" s="20"/>
      <c r="G221" s="20"/>
      <c r="H221" s="20"/>
      <c r="I221" s="17"/>
      <c r="J221" s="21"/>
      <c r="K221" s="20"/>
      <c r="L221" s="17"/>
      <c r="M221" s="20"/>
      <c r="N221" s="20"/>
      <c r="O221" s="17"/>
      <c r="P221" s="22" t="str">
        <f aca="false">IF(C221="","",IF(AND(M221="Sim",N221=""),"Agarrada sem motivo declarado",IF(AND(H221="Sim",I221=""),"Traciona hoje sem próximo passo",IF(AND(O221&lt;&gt;"",O221&gt;=14),"Parada há 14 dias ou mais",IF(AND(M221="Sim",O221&lt;&gt;"",O221&gt;=7),"Agarrada há 7 dias, escalar",IF(AND(I221&lt;&gt;"",J221=""),"Próximo passo sem data",""))))))</f>
        <v/>
      </c>
    </row>
    <row r="222" customFormat="false" ht="15" hidden="false" customHeight="false" outlineLevel="0" collapsed="false">
      <c r="A222" s="21"/>
      <c r="B222" s="17"/>
      <c r="C222" s="17"/>
      <c r="D222" s="19"/>
      <c r="E222" s="20"/>
      <c r="F222" s="20"/>
      <c r="G222" s="20"/>
      <c r="H222" s="20"/>
      <c r="I222" s="17"/>
      <c r="J222" s="21"/>
      <c r="K222" s="20"/>
      <c r="L222" s="17"/>
      <c r="M222" s="20"/>
      <c r="N222" s="20"/>
      <c r="O222" s="17"/>
      <c r="P222" s="22" t="str">
        <f aca="false">IF(C222="","",IF(AND(M222="Sim",N222=""),"Agarrada sem motivo declarado",IF(AND(H222="Sim",I222=""),"Traciona hoje sem próximo passo",IF(AND(O222&lt;&gt;"",O222&gt;=14),"Parada há 14 dias ou mais",IF(AND(M222="Sim",O222&lt;&gt;"",O222&gt;=7),"Agarrada há 7 dias, escalar",IF(AND(I222&lt;&gt;"",J222=""),"Próximo passo sem data",""))))))</f>
        <v/>
      </c>
    </row>
    <row r="223" customFormat="false" ht="15" hidden="false" customHeight="false" outlineLevel="0" collapsed="false">
      <c r="A223" s="21"/>
      <c r="B223" s="17"/>
      <c r="C223" s="17"/>
      <c r="D223" s="19"/>
      <c r="E223" s="20"/>
      <c r="F223" s="20"/>
      <c r="G223" s="20"/>
      <c r="H223" s="20"/>
      <c r="I223" s="17"/>
      <c r="J223" s="21"/>
      <c r="K223" s="20"/>
      <c r="L223" s="17"/>
      <c r="M223" s="20"/>
      <c r="N223" s="20"/>
      <c r="O223" s="17"/>
      <c r="P223" s="22" t="str">
        <f aca="false">IF(C223="","",IF(AND(M223="Sim",N223=""),"Agarrada sem motivo declarado",IF(AND(H223="Sim",I223=""),"Traciona hoje sem próximo passo",IF(AND(O223&lt;&gt;"",O223&gt;=14),"Parada há 14 dias ou mais",IF(AND(M223="Sim",O223&lt;&gt;"",O223&gt;=7),"Agarrada há 7 dias, escalar",IF(AND(I223&lt;&gt;"",J223=""),"Próximo passo sem data",""))))))</f>
        <v/>
      </c>
    </row>
    <row r="224" customFormat="false" ht="15" hidden="false" customHeight="false" outlineLevel="0" collapsed="false">
      <c r="A224" s="21"/>
      <c r="B224" s="17"/>
      <c r="C224" s="17"/>
      <c r="D224" s="19"/>
      <c r="E224" s="20"/>
      <c r="F224" s="20"/>
      <c r="G224" s="20"/>
      <c r="H224" s="20"/>
      <c r="I224" s="17"/>
      <c r="J224" s="21"/>
      <c r="K224" s="20"/>
      <c r="L224" s="17"/>
      <c r="M224" s="20"/>
      <c r="N224" s="20"/>
      <c r="O224" s="17"/>
      <c r="P224" s="22" t="str">
        <f aca="false">IF(C224="","",IF(AND(M224="Sim",N224=""),"Agarrada sem motivo declarado",IF(AND(H224="Sim",I224=""),"Traciona hoje sem próximo passo",IF(AND(O224&lt;&gt;"",O224&gt;=14),"Parada há 14 dias ou mais",IF(AND(M224="Sim",O224&lt;&gt;"",O224&gt;=7),"Agarrada há 7 dias, escalar",IF(AND(I224&lt;&gt;"",J224=""),"Próximo passo sem data",""))))))</f>
        <v/>
      </c>
    </row>
    <row r="225" customFormat="false" ht="15" hidden="false" customHeight="false" outlineLevel="0" collapsed="false">
      <c r="A225" s="21"/>
      <c r="B225" s="17"/>
      <c r="C225" s="17"/>
      <c r="D225" s="19"/>
      <c r="E225" s="20"/>
      <c r="F225" s="20"/>
      <c r="G225" s="20"/>
      <c r="H225" s="20"/>
      <c r="I225" s="17"/>
      <c r="J225" s="21"/>
      <c r="K225" s="20"/>
      <c r="L225" s="17"/>
      <c r="M225" s="20"/>
      <c r="N225" s="20"/>
      <c r="O225" s="17"/>
      <c r="P225" s="22" t="str">
        <f aca="false">IF(C225="","",IF(AND(M225="Sim",N225=""),"Agarrada sem motivo declarado",IF(AND(H225="Sim",I225=""),"Traciona hoje sem próximo passo",IF(AND(O225&lt;&gt;"",O225&gt;=14),"Parada há 14 dias ou mais",IF(AND(M225="Sim",O225&lt;&gt;"",O225&gt;=7),"Agarrada há 7 dias, escalar",IF(AND(I225&lt;&gt;"",J225=""),"Próximo passo sem data",""))))))</f>
        <v/>
      </c>
    </row>
    <row r="226" customFormat="false" ht="15" hidden="false" customHeight="false" outlineLevel="0" collapsed="false">
      <c r="A226" s="21"/>
      <c r="B226" s="17"/>
      <c r="C226" s="17"/>
      <c r="D226" s="19"/>
      <c r="E226" s="20"/>
      <c r="F226" s="20"/>
      <c r="G226" s="20"/>
      <c r="H226" s="20"/>
      <c r="I226" s="17"/>
      <c r="J226" s="21"/>
      <c r="K226" s="20"/>
      <c r="L226" s="17"/>
      <c r="M226" s="20"/>
      <c r="N226" s="20"/>
      <c r="O226" s="17"/>
      <c r="P226" s="22" t="str">
        <f aca="false">IF(C226="","",IF(AND(M226="Sim",N226=""),"Agarrada sem motivo declarado",IF(AND(H226="Sim",I226=""),"Traciona hoje sem próximo passo",IF(AND(O226&lt;&gt;"",O226&gt;=14),"Parada há 14 dias ou mais",IF(AND(M226="Sim",O226&lt;&gt;"",O226&gt;=7),"Agarrada há 7 dias, escalar",IF(AND(I226&lt;&gt;"",J226=""),"Próximo passo sem data",""))))))</f>
        <v/>
      </c>
    </row>
    <row r="227" customFormat="false" ht="15" hidden="false" customHeight="false" outlineLevel="0" collapsed="false">
      <c r="A227" s="21"/>
      <c r="B227" s="17"/>
      <c r="C227" s="17"/>
      <c r="D227" s="19"/>
      <c r="E227" s="20"/>
      <c r="F227" s="20"/>
      <c r="G227" s="20"/>
      <c r="H227" s="20"/>
      <c r="I227" s="17"/>
      <c r="J227" s="21"/>
      <c r="K227" s="20"/>
      <c r="L227" s="17"/>
      <c r="M227" s="20"/>
      <c r="N227" s="20"/>
      <c r="O227" s="17"/>
      <c r="P227" s="22" t="str">
        <f aca="false">IF(C227="","",IF(AND(M227="Sim",N227=""),"Agarrada sem motivo declarado",IF(AND(H227="Sim",I227=""),"Traciona hoje sem próximo passo",IF(AND(O227&lt;&gt;"",O227&gt;=14),"Parada há 14 dias ou mais",IF(AND(M227="Sim",O227&lt;&gt;"",O227&gt;=7),"Agarrada há 7 dias, escalar",IF(AND(I227&lt;&gt;"",J227=""),"Próximo passo sem data",""))))))</f>
        <v/>
      </c>
    </row>
    <row r="228" customFormat="false" ht="15" hidden="false" customHeight="false" outlineLevel="0" collapsed="false">
      <c r="A228" s="21"/>
      <c r="B228" s="17"/>
      <c r="C228" s="17"/>
      <c r="D228" s="19"/>
      <c r="E228" s="20"/>
      <c r="F228" s="20"/>
      <c r="G228" s="20"/>
      <c r="H228" s="20"/>
      <c r="I228" s="17"/>
      <c r="J228" s="21"/>
      <c r="K228" s="20"/>
      <c r="L228" s="17"/>
      <c r="M228" s="20"/>
      <c r="N228" s="20"/>
      <c r="O228" s="17"/>
      <c r="P228" s="22" t="str">
        <f aca="false">IF(C228="","",IF(AND(M228="Sim",N228=""),"Agarrada sem motivo declarado",IF(AND(H228="Sim",I228=""),"Traciona hoje sem próximo passo",IF(AND(O228&lt;&gt;"",O228&gt;=14),"Parada há 14 dias ou mais",IF(AND(M228="Sim",O228&lt;&gt;"",O228&gt;=7),"Agarrada há 7 dias, escalar",IF(AND(I228&lt;&gt;"",J228=""),"Próximo passo sem data",""))))))</f>
        <v/>
      </c>
    </row>
    <row r="229" customFormat="false" ht="15" hidden="false" customHeight="false" outlineLevel="0" collapsed="false">
      <c r="A229" s="21"/>
      <c r="B229" s="17"/>
      <c r="C229" s="17"/>
      <c r="D229" s="19"/>
      <c r="E229" s="20"/>
      <c r="F229" s="20"/>
      <c r="G229" s="20"/>
      <c r="H229" s="20"/>
      <c r="I229" s="17"/>
      <c r="J229" s="21"/>
      <c r="K229" s="20"/>
      <c r="L229" s="17"/>
      <c r="M229" s="20"/>
      <c r="N229" s="20"/>
      <c r="O229" s="17"/>
      <c r="P229" s="22" t="str">
        <f aca="false">IF(C229="","",IF(AND(M229="Sim",N229=""),"Agarrada sem motivo declarado",IF(AND(H229="Sim",I229=""),"Traciona hoje sem próximo passo",IF(AND(O229&lt;&gt;"",O229&gt;=14),"Parada há 14 dias ou mais",IF(AND(M229="Sim",O229&lt;&gt;"",O229&gt;=7),"Agarrada há 7 dias, escalar",IF(AND(I229&lt;&gt;"",J229=""),"Próximo passo sem data",""))))))</f>
        <v/>
      </c>
    </row>
    <row r="230" customFormat="false" ht="15" hidden="false" customHeight="false" outlineLevel="0" collapsed="false">
      <c r="A230" s="21"/>
      <c r="B230" s="17"/>
      <c r="C230" s="17"/>
      <c r="D230" s="19"/>
      <c r="E230" s="20"/>
      <c r="F230" s="20"/>
      <c r="G230" s="20"/>
      <c r="H230" s="20"/>
      <c r="I230" s="17"/>
      <c r="J230" s="21"/>
      <c r="K230" s="20"/>
      <c r="L230" s="17"/>
      <c r="M230" s="20"/>
      <c r="N230" s="20"/>
      <c r="O230" s="17"/>
      <c r="P230" s="22" t="str">
        <f aca="false">IF(C230="","",IF(AND(M230="Sim",N230=""),"Agarrada sem motivo declarado",IF(AND(H230="Sim",I230=""),"Traciona hoje sem próximo passo",IF(AND(O230&lt;&gt;"",O230&gt;=14),"Parada há 14 dias ou mais",IF(AND(M230="Sim",O230&lt;&gt;"",O230&gt;=7),"Agarrada há 7 dias, escalar",IF(AND(I230&lt;&gt;"",J230=""),"Próximo passo sem data",""))))))</f>
        <v/>
      </c>
    </row>
    <row r="231" customFormat="false" ht="15" hidden="false" customHeight="false" outlineLevel="0" collapsed="false">
      <c r="A231" s="21"/>
      <c r="B231" s="17"/>
      <c r="C231" s="17"/>
      <c r="D231" s="19"/>
      <c r="E231" s="20"/>
      <c r="F231" s="20"/>
      <c r="G231" s="20"/>
      <c r="H231" s="20"/>
      <c r="I231" s="17"/>
      <c r="J231" s="21"/>
      <c r="K231" s="20"/>
      <c r="L231" s="17"/>
      <c r="M231" s="20"/>
      <c r="N231" s="20"/>
      <c r="O231" s="17"/>
      <c r="P231" s="22" t="str">
        <f aca="false">IF(C231="","",IF(AND(M231="Sim",N231=""),"Agarrada sem motivo declarado",IF(AND(H231="Sim",I231=""),"Traciona hoje sem próximo passo",IF(AND(O231&lt;&gt;"",O231&gt;=14),"Parada há 14 dias ou mais",IF(AND(M231="Sim",O231&lt;&gt;"",O231&gt;=7),"Agarrada há 7 dias, escalar",IF(AND(I231&lt;&gt;"",J231=""),"Próximo passo sem data",""))))))</f>
        <v/>
      </c>
    </row>
    <row r="232" customFormat="false" ht="15" hidden="false" customHeight="false" outlineLevel="0" collapsed="false">
      <c r="A232" s="21"/>
      <c r="B232" s="17"/>
      <c r="C232" s="17"/>
      <c r="D232" s="19"/>
      <c r="E232" s="20"/>
      <c r="F232" s="20"/>
      <c r="G232" s="20"/>
      <c r="H232" s="20"/>
      <c r="I232" s="17"/>
      <c r="J232" s="21"/>
      <c r="K232" s="20"/>
      <c r="L232" s="17"/>
      <c r="M232" s="20"/>
      <c r="N232" s="20"/>
      <c r="O232" s="17"/>
      <c r="P232" s="22" t="str">
        <f aca="false">IF(C232="","",IF(AND(M232="Sim",N232=""),"Agarrada sem motivo declarado",IF(AND(H232="Sim",I232=""),"Traciona hoje sem próximo passo",IF(AND(O232&lt;&gt;"",O232&gt;=14),"Parada há 14 dias ou mais",IF(AND(M232="Sim",O232&lt;&gt;"",O232&gt;=7),"Agarrada há 7 dias, escalar",IF(AND(I232&lt;&gt;"",J232=""),"Próximo passo sem data",""))))))</f>
        <v/>
      </c>
    </row>
    <row r="233" customFormat="false" ht="15" hidden="false" customHeight="false" outlineLevel="0" collapsed="false">
      <c r="A233" s="21"/>
      <c r="B233" s="17"/>
      <c r="C233" s="17"/>
      <c r="D233" s="19"/>
      <c r="E233" s="20"/>
      <c r="F233" s="20"/>
      <c r="G233" s="20"/>
      <c r="H233" s="20"/>
      <c r="I233" s="17"/>
      <c r="J233" s="21"/>
      <c r="K233" s="20"/>
      <c r="L233" s="17"/>
      <c r="M233" s="20"/>
      <c r="N233" s="20"/>
      <c r="O233" s="17"/>
      <c r="P233" s="22" t="str">
        <f aca="false">IF(C233="","",IF(AND(M233="Sim",N233=""),"Agarrada sem motivo declarado",IF(AND(H233="Sim",I233=""),"Traciona hoje sem próximo passo",IF(AND(O233&lt;&gt;"",O233&gt;=14),"Parada há 14 dias ou mais",IF(AND(M233="Sim",O233&lt;&gt;"",O233&gt;=7),"Agarrada há 7 dias, escalar",IF(AND(I233&lt;&gt;"",J233=""),"Próximo passo sem data",""))))))</f>
        <v/>
      </c>
    </row>
    <row r="234" customFormat="false" ht="15" hidden="false" customHeight="false" outlineLevel="0" collapsed="false">
      <c r="A234" s="21"/>
      <c r="B234" s="17"/>
      <c r="C234" s="17"/>
      <c r="D234" s="19"/>
      <c r="E234" s="20"/>
      <c r="F234" s="20"/>
      <c r="G234" s="20"/>
      <c r="H234" s="20"/>
      <c r="I234" s="17"/>
      <c r="J234" s="21"/>
      <c r="K234" s="20"/>
      <c r="L234" s="17"/>
      <c r="M234" s="20"/>
      <c r="N234" s="20"/>
      <c r="O234" s="17"/>
      <c r="P234" s="22" t="str">
        <f aca="false">IF(C234="","",IF(AND(M234="Sim",N234=""),"Agarrada sem motivo declarado",IF(AND(H234="Sim",I234=""),"Traciona hoje sem próximo passo",IF(AND(O234&lt;&gt;"",O234&gt;=14),"Parada há 14 dias ou mais",IF(AND(M234="Sim",O234&lt;&gt;"",O234&gt;=7),"Agarrada há 7 dias, escalar",IF(AND(I234&lt;&gt;"",J234=""),"Próximo passo sem data",""))))))</f>
        <v/>
      </c>
    </row>
    <row r="235" customFormat="false" ht="15" hidden="false" customHeight="false" outlineLevel="0" collapsed="false">
      <c r="A235" s="21"/>
      <c r="B235" s="17"/>
      <c r="C235" s="17"/>
      <c r="D235" s="19"/>
      <c r="E235" s="20"/>
      <c r="F235" s="20"/>
      <c r="G235" s="20"/>
      <c r="H235" s="20"/>
      <c r="I235" s="17"/>
      <c r="J235" s="21"/>
      <c r="K235" s="20"/>
      <c r="L235" s="17"/>
      <c r="M235" s="20"/>
      <c r="N235" s="20"/>
      <c r="O235" s="17"/>
      <c r="P235" s="22" t="str">
        <f aca="false">IF(C235="","",IF(AND(M235="Sim",N235=""),"Agarrada sem motivo declarado",IF(AND(H235="Sim",I235=""),"Traciona hoje sem próximo passo",IF(AND(O235&lt;&gt;"",O235&gt;=14),"Parada há 14 dias ou mais",IF(AND(M235="Sim",O235&lt;&gt;"",O235&gt;=7),"Agarrada há 7 dias, escalar",IF(AND(I235&lt;&gt;"",J235=""),"Próximo passo sem data",""))))))</f>
        <v/>
      </c>
    </row>
    <row r="236" customFormat="false" ht="15" hidden="false" customHeight="false" outlineLevel="0" collapsed="false">
      <c r="A236" s="21"/>
      <c r="B236" s="17"/>
      <c r="C236" s="17"/>
      <c r="D236" s="19"/>
      <c r="E236" s="20"/>
      <c r="F236" s="20"/>
      <c r="G236" s="20"/>
      <c r="H236" s="20"/>
      <c r="I236" s="17"/>
      <c r="J236" s="21"/>
      <c r="K236" s="20"/>
      <c r="L236" s="17"/>
      <c r="M236" s="20"/>
      <c r="N236" s="20"/>
      <c r="O236" s="17"/>
      <c r="P236" s="22" t="str">
        <f aca="false">IF(C236="","",IF(AND(M236="Sim",N236=""),"Agarrada sem motivo declarado",IF(AND(H236="Sim",I236=""),"Traciona hoje sem próximo passo",IF(AND(O236&lt;&gt;"",O236&gt;=14),"Parada há 14 dias ou mais",IF(AND(M236="Sim",O236&lt;&gt;"",O236&gt;=7),"Agarrada há 7 dias, escalar",IF(AND(I236&lt;&gt;"",J236=""),"Próximo passo sem data",""))))))</f>
        <v/>
      </c>
    </row>
    <row r="237" customFormat="false" ht="15" hidden="false" customHeight="false" outlineLevel="0" collapsed="false">
      <c r="A237" s="21"/>
      <c r="B237" s="17"/>
      <c r="C237" s="17"/>
      <c r="D237" s="19"/>
      <c r="E237" s="20"/>
      <c r="F237" s="20"/>
      <c r="G237" s="20"/>
      <c r="H237" s="20"/>
      <c r="I237" s="17"/>
      <c r="J237" s="21"/>
      <c r="K237" s="20"/>
      <c r="L237" s="17"/>
      <c r="M237" s="20"/>
      <c r="N237" s="20"/>
      <c r="O237" s="17"/>
      <c r="P237" s="22" t="str">
        <f aca="false">IF(C237="","",IF(AND(M237="Sim",N237=""),"Agarrada sem motivo declarado",IF(AND(H237="Sim",I237=""),"Traciona hoje sem próximo passo",IF(AND(O237&lt;&gt;"",O237&gt;=14),"Parada há 14 dias ou mais",IF(AND(M237="Sim",O237&lt;&gt;"",O237&gt;=7),"Agarrada há 7 dias, escalar",IF(AND(I237&lt;&gt;"",J237=""),"Próximo passo sem data",""))))))</f>
        <v/>
      </c>
    </row>
    <row r="238" customFormat="false" ht="15" hidden="false" customHeight="false" outlineLevel="0" collapsed="false">
      <c r="A238" s="21"/>
      <c r="B238" s="17"/>
      <c r="C238" s="17"/>
      <c r="D238" s="19"/>
      <c r="E238" s="20"/>
      <c r="F238" s="20"/>
      <c r="G238" s="20"/>
      <c r="H238" s="20"/>
      <c r="I238" s="17"/>
      <c r="J238" s="21"/>
      <c r="K238" s="20"/>
      <c r="L238" s="17"/>
      <c r="M238" s="20"/>
      <c r="N238" s="20"/>
      <c r="O238" s="17"/>
      <c r="P238" s="22" t="str">
        <f aca="false">IF(C238="","",IF(AND(M238="Sim",N238=""),"Agarrada sem motivo declarado",IF(AND(H238="Sim",I238=""),"Traciona hoje sem próximo passo",IF(AND(O238&lt;&gt;"",O238&gt;=14),"Parada há 14 dias ou mais",IF(AND(M238="Sim",O238&lt;&gt;"",O238&gt;=7),"Agarrada há 7 dias, escalar",IF(AND(I238&lt;&gt;"",J238=""),"Próximo passo sem data",""))))))</f>
        <v/>
      </c>
    </row>
    <row r="239" customFormat="false" ht="15" hidden="false" customHeight="false" outlineLevel="0" collapsed="false">
      <c r="A239" s="21"/>
      <c r="B239" s="17"/>
      <c r="C239" s="17"/>
      <c r="D239" s="19"/>
      <c r="E239" s="20"/>
      <c r="F239" s="20"/>
      <c r="G239" s="20"/>
      <c r="H239" s="20"/>
      <c r="I239" s="17"/>
      <c r="J239" s="21"/>
      <c r="K239" s="20"/>
      <c r="L239" s="17"/>
      <c r="M239" s="20"/>
      <c r="N239" s="20"/>
      <c r="O239" s="17"/>
      <c r="P239" s="22" t="str">
        <f aca="false">IF(C239="","",IF(AND(M239="Sim",N239=""),"Agarrada sem motivo declarado",IF(AND(H239="Sim",I239=""),"Traciona hoje sem próximo passo",IF(AND(O239&lt;&gt;"",O239&gt;=14),"Parada há 14 dias ou mais",IF(AND(M239="Sim",O239&lt;&gt;"",O239&gt;=7),"Agarrada há 7 dias, escalar",IF(AND(I239&lt;&gt;"",J239=""),"Próximo passo sem data",""))))))</f>
        <v/>
      </c>
    </row>
    <row r="240" customFormat="false" ht="15" hidden="false" customHeight="false" outlineLevel="0" collapsed="false">
      <c r="A240" s="21"/>
      <c r="B240" s="17"/>
      <c r="C240" s="17"/>
      <c r="D240" s="19"/>
      <c r="E240" s="20"/>
      <c r="F240" s="20"/>
      <c r="G240" s="20"/>
      <c r="H240" s="20"/>
      <c r="I240" s="17"/>
      <c r="J240" s="21"/>
      <c r="K240" s="20"/>
      <c r="L240" s="17"/>
      <c r="M240" s="20"/>
      <c r="N240" s="20"/>
      <c r="O240" s="17"/>
      <c r="P240" s="22" t="str">
        <f aca="false">IF(C240="","",IF(AND(M240="Sim",N240=""),"Agarrada sem motivo declarado",IF(AND(H240="Sim",I240=""),"Traciona hoje sem próximo passo",IF(AND(O240&lt;&gt;"",O240&gt;=14),"Parada há 14 dias ou mais",IF(AND(M240="Sim",O240&lt;&gt;"",O240&gt;=7),"Agarrada há 7 dias, escalar",IF(AND(I240&lt;&gt;"",J240=""),"Próximo passo sem data",""))))))</f>
        <v/>
      </c>
    </row>
    <row r="241" customFormat="false" ht="15" hidden="false" customHeight="false" outlineLevel="0" collapsed="false">
      <c r="A241" s="21"/>
      <c r="B241" s="17"/>
      <c r="C241" s="17"/>
      <c r="D241" s="19"/>
      <c r="E241" s="20"/>
      <c r="F241" s="20"/>
      <c r="G241" s="20"/>
      <c r="H241" s="20"/>
      <c r="I241" s="17"/>
      <c r="J241" s="21"/>
      <c r="K241" s="20"/>
      <c r="L241" s="17"/>
      <c r="M241" s="20"/>
      <c r="N241" s="20"/>
      <c r="O241" s="17"/>
      <c r="P241" s="22" t="str">
        <f aca="false">IF(C241="","",IF(AND(M241="Sim",N241=""),"Agarrada sem motivo declarado",IF(AND(H241="Sim",I241=""),"Traciona hoje sem próximo passo",IF(AND(O241&lt;&gt;"",O241&gt;=14),"Parada há 14 dias ou mais",IF(AND(M241="Sim",O241&lt;&gt;"",O241&gt;=7),"Agarrada há 7 dias, escalar",IF(AND(I241&lt;&gt;"",J241=""),"Próximo passo sem data",""))))))</f>
        <v/>
      </c>
    </row>
    <row r="242" customFormat="false" ht="15" hidden="false" customHeight="false" outlineLevel="0" collapsed="false">
      <c r="A242" s="21"/>
      <c r="B242" s="17"/>
      <c r="C242" s="17"/>
      <c r="D242" s="19"/>
      <c r="E242" s="20"/>
      <c r="F242" s="20"/>
      <c r="G242" s="20"/>
      <c r="H242" s="20"/>
      <c r="I242" s="17"/>
      <c r="J242" s="21"/>
      <c r="K242" s="20"/>
      <c r="L242" s="17"/>
      <c r="M242" s="20"/>
      <c r="N242" s="20"/>
      <c r="O242" s="17"/>
      <c r="P242" s="22" t="str">
        <f aca="false">IF(C242="","",IF(AND(M242="Sim",N242=""),"Agarrada sem motivo declarado",IF(AND(H242="Sim",I242=""),"Traciona hoje sem próximo passo",IF(AND(O242&lt;&gt;"",O242&gt;=14),"Parada há 14 dias ou mais",IF(AND(M242="Sim",O242&lt;&gt;"",O242&gt;=7),"Agarrada há 7 dias, escalar",IF(AND(I242&lt;&gt;"",J242=""),"Próximo passo sem data",""))))))</f>
        <v/>
      </c>
    </row>
    <row r="243" customFormat="false" ht="15" hidden="false" customHeight="false" outlineLevel="0" collapsed="false">
      <c r="A243" s="21"/>
      <c r="B243" s="17"/>
      <c r="C243" s="17"/>
      <c r="D243" s="19"/>
      <c r="E243" s="20"/>
      <c r="F243" s="20"/>
      <c r="G243" s="20"/>
      <c r="H243" s="20"/>
      <c r="I243" s="17"/>
      <c r="J243" s="21"/>
      <c r="K243" s="20"/>
      <c r="L243" s="17"/>
      <c r="M243" s="20"/>
      <c r="N243" s="20"/>
      <c r="O243" s="17"/>
      <c r="P243" s="22" t="str">
        <f aca="false">IF(C243="","",IF(AND(M243="Sim",N243=""),"Agarrada sem motivo declarado",IF(AND(H243="Sim",I243=""),"Traciona hoje sem próximo passo",IF(AND(O243&lt;&gt;"",O243&gt;=14),"Parada há 14 dias ou mais",IF(AND(M243="Sim",O243&lt;&gt;"",O243&gt;=7),"Agarrada há 7 dias, escalar",IF(AND(I243&lt;&gt;"",J243=""),"Próximo passo sem data",""))))))</f>
        <v/>
      </c>
    </row>
    <row r="244" customFormat="false" ht="15" hidden="false" customHeight="false" outlineLevel="0" collapsed="false">
      <c r="A244" s="21"/>
      <c r="B244" s="17"/>
      <c r="C244" s="17"/>
      <c r="D244" s="19"/>
      <c r="E244" s="20"/>
      <c r="F244" s="20"/>
      <c r="G244" s="20"/>
      <c r="H244" s="20"/>
      <c r="I244" s="17"/>
      <c r="J244" s="21"/>
      <c r="K244" s="20"/>
      <c r="L244" s="17"/>
      <c r="M244" s="20"/>
      <c r="N244" s="20"/>
      <c r="O244" s="17"/>
      <c r="P244" s="22" t="str">
        <f aca="false">IF(C244="","",IF(AND(M244="Sim",N244=""),"Agarrada sem motivo declarado",IF(AND(H244="Sim",I244=""),"Traciona hoje sem próximo passo",IF(AND(O244&lt;&gt;"",O244&gt;=14),"Parada há 14 dias ou mais",IF(AND(M244="Sim",O244&lt;&gt;"",O244&gt;=7),"Agarrada há 7 dias, escalar",IF(AND(I244&lt;&gt;"",J244=""),"Próximo passo sem data",""))))))</f>
        <v/>
      </c>
    </row>
    <row r="245" customFormat="false" ht="15" hidden="false" customHeight="false" outlineLevel="0" collapsed="false">
      <c r="A245" s="21"/>
      <c r="B245" s="17"/>
      <c r="C245" s="17"/>
      <c r="D245" s="19"/>
      <c r="E245" s="20"/>
      <c r="F245" s="20"/>
      <c r="G245" s="20"/>
      <c r="H245" s="20"/>
      <c r="I245" s="17"/>
      <c r="J245" s="21"/>
      <c r="K245" s="20"/>
      <c r="L245" s="17"/>
      <c r="M245" s="20"/>
      <c r="N245" s="20"/>
      <c r="O245" s="17"/>
      <c r="P245" s="22" t="str">
        <f aca="false">IF(C245="","",IF(AND(M245="Sim",N245=""),"Agarrada sem motivo declarado",IF(AND(H245="Sim",I245=""),"Traciona hoje sem próximo passo",IF(AND(O245&lt;&gt;"",O245&gt;=14),"Parada há 14 dias ou mais",IF(AND(M245="Sim",O245&lt;&gt;"",O245&gt;=7),"Agarrada há 7 dias, escalar",IF(AND(I245&lt;&gt;"",J245=""),"Próximo passo sem data",""))))))</f>
        <v/>
      </c>
    </row>
    <row r="246" customFormat="false" ht="15" hidden="false" customHeight="false" outlineLevel="0" collapsed="false">
      <c r="A246" s="21"/>
      <c r="B246" s="17"/>
      <c r="C246" s="17"/>
      <c r="D246" s="19"/>
      <c r="E246" s="20"/>
      <c r="F246" s="20"/>
      <c r="G246" s="20"/>
      <c r="H246" s="20"/>
      <c r="I246" s="17"/>
      <c r="J246" s="21"/>
      <c r="K246" s="20"/>
      <c r="L246" s="17"/>
      <c r="M246" s="20"/>
      <c r="N246" s="20"/>
      <c r="O246" s="17"/>
      <c r="P246" s="22" t="str">
        <f aca="false">IF(C246="","",IF(AND(M246="Sim",N246=""),"Agarrada sem motivo declarado",IF(AND(H246="Sim",I246=""),"Traciona hoje sem próximo passo",IF(AND(O246&lt;&gt;"",O246&gt;=14),"Parada há 14 dias ou mais",IF(AND(M246="Sim",O246&lt;&gt;"",O246&gt;=7),"Agarrada há 7 dias, escalar",IF(AND(I246&lt;&gt;"",J246=""),"Próximo passo sem data",""))))))</f>
        <v/>
      </c>
    </row>
    <row r="247" customFormat="false" ht="15" hidden="false" customHeight="false" outlineLevel="0" collapsed="false">
      <c r="A247" s="21"/>
      <c r="B247" s="17"/>
      <c r="C247" s="17"/>
      <c r="D247" s="19"/>
      <c r="E247" s="20"/>
      <c r="F247" s="20"/>
      <c r="G247" s="20"/>
      <c r="H247" s="20"/>
      <c r="I247" s="17"/>
      <c r="J247" s="21"/>
      <c r="K247" s="20"/>
      <c r="L247" s="17"/>
      <c r="M247" s="20"/>
      <c r="N247" s="20"/>
      <c r="O247" s="17"/>
      <c r="P247" s="22" t="str">
        <f aca="false">IF(C247="","",IF(AND(M247="Sim",N247=""),"Agarrada sem motivo declarado",IF(AND(H247="Sim",I247=""),"Traciona hoje sem próximo passo",IF(AND(O247&lt;&gt;"",O247&gt;=14),"Parada há 14 dias ou mais",IF(AND(M247="Sim",O247&lt;&gt;"",O247&gt;=7),"Agarrada há 7 dias, escalar",IF(AND(I247&lt;&gt;"",J247=""),"Próximo passo sem data",""))))))</f>
        <v/>
      </c>
    </row>
    <row r="248" customFormat="false" ht="15" hidden="false" customHeight="false" outlineLevel="0" collapsed="false">
      <c r="A248" s="21"/>
      <c r="B248" s="17"/>
      <c r="C248" s="17"/>
      <c r="D248" s="19"/>
      <c r="E248" s="20"/>
      <c r="F248" s="20"/>
      <c r="G248" s="20"/>
      <c r="H248" s="20"/>
      <c r="I248" s="17"/>
      <c r="J248" s="21"/>
      <c r="K248" s="20"/>
      <c r="L248" s="17"/>
      <c r="M248" s="20"/>
      <c r="N248" s="20"/>
      <c r="O248" s="17"/>
      <c r="P248" s="22" t="str">
        <f aca="false">IF(C248="","",IF(AND(M248="Sim",N248=""),"Agarrada sem motivo declarado",IF(AND(H248="Sim",I248=""),"Traciona hoje sem próximo passo",IF(AND(O248&lt;&gt;"",O248&gt;=14),"Parada há 14 dias ou mais",IF(AND(M248="Sim",O248&lt;&gt;"",O248&gt;=7),"Agarrada há 7 dias, escalar",IF(AND(I248&lt;&gt;"",J248=""),"Próximo passo sem data",""))))))</f>
        <v/>
      </c>
    </row>
    <row r="249" customFormat="false" ht="15" hidden="false" customHeight="false" outlineLevel="0" collapsed="false">
      <c r="A249" s="21"/>
      <c r="B249" s="17"/>
      <c r="C249" s="17"/>
      <c r="D249" s="19"/>
      <c r="E249" s="20"/>
      <c r="F249" s="20"/>
      <c r="G249" s="20"/>
      <c r="H249" s="20"/>
      <c r="I249" s="17"/>
      <c r="J249" s="21"/>
      <c r="K249" s="20"/>
      <c r="L249" s="17"/>
      <c r="M249" s="20"/>
      <c r="N249" s="20"/>
      <c r="O249" s="17"/>
      <c r="P249" s="22" t="str">
        <f aca="false">IF(C249="","",IF(AND(M249="Sim",N249=""),"Agarrada sem motivo declarado",IF(AND(H249="Sim",I249=""),"Traciona hoje sem próximo passo",IF(AND(O249&lt;&gt;"",O249&gt;=14),"Parada há 14 dias ou mais",IF(AND(M249="Sim",O249&lt;&gt;"",O249&gt;=7),"Agarrada há 7 dias, escalar",IF(AND(I249&lt;&gt;"",J249=""),"Próximo passo sem data",""))))))</f>
        <v/>
      </c>
    </row>
    <row r="250" customFormat="false" ht="15" hidden="false" customHeight="false" outlineLevel="0" collapsed="false">
      <c r="A250" s="21"/>
      <c r="B250" s="17"/>
      <c r="C250" s="17"/>
      <c r="D250" s="19"/>
      <c r="E250" s="20"/>
      <c r="F250" s="20"/>
      <c r="G250" s="20"/>
      <c r="H250" s="20"/>
      <c r="I250" s="17"/>
      <c r="J250" s="21"/>
      <c r="K250" s="20"/>
      <c r="L250" s="17"/>
      <c r="M250" s="20"/>
      <c r="N250" s="20"/>
      <c r="O250" s="17"/>
      <c r="P250" s="22" t="str">
        <f aca="false">IF(C250="","",IF(AND(M250="Sim",N250=""),"Agarrada sem motivo declarado",IF(AND(H250="Sim",I250=""),"Traciona hoje sem próximo passo",IF(AND(O250&lt;&gt;"",O250&gt;=14),"Parada há 14 dias ou mais",IF(AND(M250="Sim",O250&lt;&gt;"",O250&gt;=7),"Agarrada há 7 dias, escalar",IF(AND(I250&lt;&gt;"",J250=""),"Próximo passo sem data",""))))))</f>
        <v/>
      </c>
    </row>
    <row r="251" customFormat="false" ht="15" hidden="false" customHeight="false" outlineLevel="0" collapsed="false">
      <c r="A251" s="21"/>
      <c r="B251" s="17"/>
      <c r="C251" s="17"/>
      <c r="D251" s="19"/>
      <c r="E251" s="20"/>
      <c r="F251" s="20"/>
      <c r="G251" s="20"/>
      <c r="H251" s="20"/>
      <c r="I251" s="17"/>
      <c r="J251" s="21"/>
      <c r="K251" s="20"/>
      <c r="L251" s="17"/>
      <c r="M251" s="20"/>
      <c r="N251" s="20"/>
      <c r="O251" s="17"/>
      <c r="P251" s="22" t="str">
        <f aca="false">IF(C251="","",IF(AND(M251="Sim",N251=""),"Agarrada sem motivo declarado",IF(AND(H251="Sim",I251=""),"Traciona hoje sem próximo passo",IF(AND(O251&lt;&gt;"",O251&gt;=14),"Parada há 14 dias ou mais",IF(AND(M251="Sim",O251&lt;&gt;"",O251&gt;=7),"Agarrada há 7 dias, escalar",IF(AND(I251&lt;&gt;"",J251=""),"Próximo passo sem data",""))))))</f>
        <v/>
      </c>
    </row>
    <row r="252" customFormat="false" ht="15" hidden="false" customHeight="false" outlineLevel="0" collapsed="false">
      <c r="A252" s="21"/>
      <c r="B252" s="17"/>
      <c r="C252" s="17"/>
      <c r="D252" s="19"/>
      <c r="E252" s="20"/>
      <c r="F252" s="20"/>
      <c r="G252" s="20"/>
      <c r="H252" s="20"/>
      <c r="I252" s="17"/>
      <c r="J252" s="21"/>
      <c r="K252" s="20"/>
      <c r="L252" s="17"/>
      <c r="M252" s="20"/>
      <c r="N252" s="20"/>
      <c r="O252" s="17"/>
      <c r="P252" s="22" t="str">
        <f aca="false">IF(C252="","",IF(AND(M252="Sim",N252=""),"Agarrada sem motivo declarado",IF(AND(H252="Sim",I252=""),"Traciona hoje sem próximo passo",IF(AND(O252&lt;&gt;"",O252&gt;=14),"Parada há 14 dias ou mais",IF(AND(M252="Sim",O252&lt;&gt;"",O252&gt;=7),"Agarrada há 7 dias, escalar",IF(AND(I252&lt;&gt;"",J252=""),"Próximo passo sem data",""))))))</f>
        <v/>
      </c>
    </row>
    <row r="253" customFormat="false" ht="15" hidden="false" customHeight="false" outlineLevel="0" collapsed="false">
      <c r="A253" s="21"/>
      <c r="B253" s="17"/>
      <c r="C253" s="17"/>
      <c r="D253" s="19"/>
      <c r="E253" s="20"/>
      <c r="F253" s="20"/>
      <c r="G253" s="20"/>
      <c r="H253" s="20"/>
      <c r="I253" s="17"/>
      <c r="J253" s="21"/>
      <c r="K253" s="20"/>
      <c r="L253" s="17"/>
      <c r="M253" s="20"/>
      <c r="N253" s="20"/>
      <c r="O253" s="17"/>
      <c r="P253" s="22" t="str">
        <f aca="false">IF(C253="","",IF(AND(M253="Sim",N253=""),"Agarrada sem motivo declarado",IF(AND(H253="Sim",I253=""),"Traciona hoje sem próximo passo",IF(AND(O253&lt;&gt;"",O253&gt;=14),"Parada há 14 dias ou mais",IF(AND(M253="Sim",O253&lt;&gt;"",O253&gt;=7),"Agarrada há 7 dias, escalar",IF(AND(I253&lt;&gt;"",J253=""),"Próximo passo sem data",""))))))</f>
        <v/>
      </c>
    </row>
    <row r="254" customFormat="false" ht="15" hidden="false" customHeight="false" outlineLevel="0" collapsed="false">
      <c r="A254" s="21"/>
      <c r="B254" s="17"/>
      <c r="C254" s="17"/>
      <c r="D254" s="19"/>
      <c r="E254" s="20"/>
      <c r="F254" s="20"/>
      <c r="G254" s="20"/>
      <c r="H254" s="20"/>
      <c r="I254" s="17"/>
      <c r="J254" s="21"/>
      <c r="K254" s="20"/>
      <c r="L254" s="17"/>
      <c r="M254" s="20"/>
      <c r="N254" s="20"/>
      <c r="O254" s="17"/>
      <c r="P254" s="22" t="str">
        <f aca="false">IF(C254="","",IF(AND(M254="Sim",N254=""),"Agarrada sem motivo declarado",IF(AND(H254="Sim",I254=""),"Traciona hoje sem próximo passo",IF(AND(O254&lt;&gt;"",O254&gt;=14),"Parada há 14 dias ou mais",IF(AND(M254="Sim",O254&lt;&gt;"",O254&gt;=7),"Agarrada há 7 dias, escalar",IF(AND(I254&lt;&gt;"",J254=""),"Próximo passo sem data",""))))))</f>
        <v/>
      </c>
    </row>
    <row r="255" customFormat="false" ht="15" hidden="false" customHeight="false" outlineLevel="0" collapsed="false">
      <c r="A255" s="21"/>
      <c r="B255" s="17"/>
      <c r="C255" s="17"/>
      <c r="D255" s="19"/>
      <c r="E255" s="20"/>
      <c r="F255" s="20"/>
      <c r="G255" s="20"/>
      <c r="H255" s="20"/>
      <c r="I255" s="17"/>
      <c r="J255" s="21"/>
      <c r="K255" s="20"/>
      <c r="L255" s="17"/>
      <c r="M255" s="20"/>
      <c r="N255" s="20"/>
      <c r="O255" s="17"/>
      <c r="P255" s="22" t="str">
        <f aca="false">IF(C255="","",IF(AND(M255="Sim",N255=""),"Agarrada sem motivo declarado",IF(AND(H255="Sim",I255=""),"Traciona hoje sem próximo passo",IF(AND(O255&lt;&gt;"",O255&gt;=14),"Parada há 14 dias ou mais",IF(AND(M255="Sim",O255&lt;&gt;"",O255&gt;=7),"Agarrada há 7 dias, escalar",IF(AND(I255&lt;&gt;"",J255=""),"Próximo passo sem data",""))))))</f>
        <v/>
      </c>
    </row>
    <row r="256" customFormat="false" ht="15" hidden="false" customHeight="false" outlineLevel="0" collapsed="false">
      <c r="A256" s="21"/>
      <c r="B256" s="17"/>
      <c r="C256" s="17"/>
      <c r="D256" s="19"/>
      <c r="E256" s="20"/>
      <c r="F256" s="20"/>
      <c r="G256" s="20"/>
      <c r="H256" s="20"/>
      <c r="I256" s="17"/>
      <c r="J256" s="21"/>
      <c r="K256" s="20"/>
      <c r="L256" s="17"/>
      <c r="M256" s="20"/>
      <c r="N256" s="20"/>
      <c r="O256" s="17"/>
      <c r="P256" s="22" t="str">
        <f aca="false">IF(C256="","",IF(AND(M256="Sim",N256=""),"Agarrada sem motivo declarado",IF(AND(H256="Sim",I256=""),"Traciona hoje sem próximo passo",IF(AND(O256&lt;&gt;"",O256&gt;=14),"Parada há 14 dias ou mais",IF(AND(M256="Sim",O256&lt;&gt;"",O256&gt;=7),"Agarrada há 7 dias, escalar",IF(AND(I256&lt;&gt;"",J256=""),"Próximo passo sem data",""))))))</f>
        <v/>
      </c>
    </row>
    <row r="257" customFormat="false" ht="15" hidden="false" customHeight="false" outlineLevel="0" collapsed="false">
      <c r="A257" s="21"/>
      <c r="B257" s="17"/>
      <c r="C257" s="17"/>
      <c r="D257" s="19"/>
      <c r="E257" s="20"/>
      <c r="F257" s="20"/>
      <c r="G257" s="20"/>
      <c r="H257" s="20"/>
      <c r="I257" s="17"/>
      <c r="J257" s="21"/>
      <c r="K257" s="20"/>
      <c r="L257" s="17"/>
      <c r="M257" s="20"/>
      <c r="N257" s="20"/>
      <c r="O257" s="17"/>
      <c r="P257" s="22" t="str">
        <f aca="false">IF(C257="","",IF(AND(M257="Sim",N257=""),"Agarrada sem motivo declarado",IF(AND(H257="Sim",I257=""),"Traciona hoje sem próximo passo",IF(AND(O257&lt;&gt;"",O257&gt;=14),"Parada há 14 dias ou mais",IF(AND(M257="Sim",O257&lt;&gt;"",O257&gt;=7),"Agarrada há 7 dias, escalar",IF(AND(I257&lt;&gt;"",J257=""),"Próximo passo sem data",""))))))</f>
        <v/>
      </c>
    </row>
    <row r="258" customFormat="false" ht="15" hidden="false" customHeight="false" outlineLevel="0" collapsed="false">
      <c r="A258" s="21"/>
      <c r="B258" s="17"/>
      <c r="C258" s="17"/>
      <c r="D258" s="19"/>
      <c r="E258" s="20"/>
      <c r="F258" s="20"/>
      <c r="G258" s="20"/>
      <c r="H258" s="20"/>
      <c r="I258" s="17"/>
      <c r="J258" s="21"/>
      <c r="K258" s="20"/>
      <c r="L258" s="17"/>
      <c r="M258" s="20"/>
      <c r="N258" s="20"/>
      <c r="O258" s="17"/>
      <c r="P258" s="22" t="str">
        <f aca="false">IF(C258="","",IF(AND(M258="Sim",N258=""),"Agarrada sem motivo declarado",IF(AND(H258="Sim",I258=""),"Traciona hoje sem próximo passo",IF(AND(O258&lt;&gt;"",O258&gt;=14),"Parada há 14 dias ou mais",IF(AND(M258="Sim",O258&lt;&gt;"",O258&gt;=7),"Agarrada há 7 dias, escalar",IF(AND(I258&lt;&gt;"",J258=""),"Próximo passo sem data",""))))))</f>
        <v/>
      </c>
    </row>
    <row r="259" customFormat="false" ht="15" hidden="false" customHeight="false" outlineLevel="0" collapsed="false">
      <c r="A259" s="21"/>
      <c r="B259" s="17"/>
      <c r="C259" s="17"/>
      <c r="D259" s="19"/>
      <c r="E259" s="20"/>
      <c r="F259" s="20"/>
      <c r="G259" s="20"/>
      <c r="H259" s="20"/>
      <c r="I259" s="17"/>
      <c r="J259" s="21"/>
      <c r="K259" s="20"/>
      <c r="L259" s="17"/>
      <c r="M259" s="20"/>
      <c r="N259" s="20"/>
      <c r="O259" s="17"/>
      <c r="P259" s="22" t="str">
        <f aca="false">IF(C259="","",IF(AND(M259="Sim",N259=""),"Agarrada sem motivo declarado",IF(AND(H259="Sim",I259=""),"Traciona hoje sem próximo passo",IF(AND(O259&lt;&gt;"",O259&gt;=14),"Parada há 14 dias ou mais",IF(AND(M259="Sim",O259&lt;&gt;"",O259&gt;=7),"Agarrada há 7 dias, escalar",IF(AND(I259&lt;&gt;"",J259=""),"Próximo passo sem data",""))))))</f>
        <v/>
      </c>
    </row>
    <row r="260" customFormat="false" ht="15" hidden="false" customHeight="false" outlineLevel="0" collapsed="false">
      <c r="A260" s="21"/>
      <c r="B260" s="17"/>
      <c r="C260" s="17"/>
      <c r="D260" s="19"/>
      <c r="E260" s="20"/>
      <c r="F260" s="20"/>
      <c r="G260" s="20"/>
      <c r="H260" s="20"/>
      <c r="I260" s="17"/>
      <c r="J260" s="21"/>
      <c r="K260" s="20"/>
      <c r="L260" s="17"/>
      <c r="M260" s="20"/>
      <c r="N260" s="20"/>
      <c r="O260" s="17"/>
      <c r="P260" s="22" t="str">
        <f aca="false">IF(C260="","",IF(AND(M260="Sim",N260=""),"Agarrada sem motivo declarado",IF(AND(H260="Sim",I260=""),"Traciona hoje sem próximo passo",IF(AND(O260&lt;&gt;"",O260&gt;=14),"Parada há 14 dias ou mais",IF(AND(M260="Sim",O260&lt;&gt;"",O260&gt;=7),"Agarrada há 7 dias, escalar",IF(AND(I260&lt;&gt;"",J260=""),"Próximo passo sem data",""))))))</f>
        <v/>
      </c>
    </row>
    <row r="261" customFormat="false" ht="15" hidden="false" customHeight="false" outlineLevel="0" collapsed="false">
      <c r="A261" s="21"/>
      <c r="B261" s="17"/>
      <c r="C261" s="17"/>
      <c r="D261" s="19"/>
      <c r="E261" s="20"/>
      <c r="F261" s="20"/>
      <c r="G261" s="20"/>
      <c r="H261" s="20"/>
      <c r="I261" s="17"/>
      <c r="J261" s="21"/>
      <c r="K261" s="20"/>
      <c r="L261" s="17"/>
      <c r="M261" s="20"/>
      <c r="N261" s="20"/>
      <c r="O261" s="17"/>
      <c r="P261" s="22" t="str">
        <f aca="false">IF(C261="","",IF(AND(M261="Sim",N261=""),"Agarrada sem motivo declarado",IF(AND(H261="Sim",I261=""),"Traciona hoje sem próximo passo",IF(AND(O261&lt;&gt;"",O261&gt;=14),"Parada há 14 dias ou mais",IF(AND(M261="Sim",O261&lt;&gt;"",O261&gt;=7),"Agarrada há 7 dias, escalar",IF(AND(I261&lt;&gt;"",J261=""),"Próximo passo sem data",""))))))</f>
        <v/>
      </c>
    </row>
    <row r="262" customFormat="false" ht="15" hidden="false" customHeight="false" outlineLevel="0" collapsed="false">
      <c r="A262" s="21"/>
      <c r="B262" s="17"/>
      <c r="C262" s="17"/>
      <c r="D262" s="19"/>
      <c r="E262" s="20"/>
      <c r="F262" s="20"/>
      <c r="G262" s="20"/>
      <c r="H262" s="20"/>
      <c r="I262" s="17"/>
      <c r="J262" s="21"/>
      <c r="K262" s="20"/>
      <c r="L262" s="17"/>
      <c r="M262" s="20"/>
      <c r="N262" s="20"/>
      <c r="O262" s="17"/>
      <c r="P262" s="22" t="str">
        <f aca="false">IF(C262="","",IF(AND(M262="Sim",N262=""),"Agarrada sem motivo declarado",IF(AND(H262="Sim",I262=""),"Traciona hoje sem próximo passo",IF(AND(O262&lt;&gt;"",O262&gt;=14),"Parada há 14 dias ou mais",IF(AND(M262="Sim",O262&lt;&gt;"",O262&gt;=7),"Agarrada há 7 dias, escalar",IF(AND(I262&lt;&gt;"",J262=""),"Próximo passo sem data",""))))))</f>
        <v/>
      </c>
    </row>
    <row r="263" customFormat="false" ht="15" hidden="false" customHeight="false" outlineLevel="0" collapsed="false">
      <c r="A263" s="21"/>
      <c r="B263" s="17"/>
      <c r="C263" s="17"/>
      <c r="D263" s="19"/>
      <c r="E263" s="20"/>
      <c r="F263" s="20"/>
      <c r="G263" s="20"/>
      <c r="H263" s="20"/>
      <c r="I263" s="17"/>
      <c r="J263" s="21"/>
      <c r="K263" s="20"/>
      <c r="L263" s="17"/>
      <c r="M263" s="20"/>
      <c r="N263" s="20"/>
      <c r="O263" s="17"/>
      <c r="P263" s="22" t="str">
        <f aca="false">IF(C263="","",IF(AND(M263="Sim",N263=""),"Agarrada sem motivo declarado",IF(AND(H263="Sim",I263=""),"Traciona hoje sem próximo passo",IF(AND(O263&lt;&gt;"",O263&gt;=14),"Parada há 14 dias ou mais",IF(AND(M263="Sim",O263&lt;&gt;"",O263&gt;=7),"Agarrada há 7 dias, escalar",IF(AND(I263&lt;&gt;"",J263=""),"Próximo passo sem data",""))))))</f>
        <v/>
      </c>
    </row>
    <row r="264" customFormat="false" ht="15" hidden="false" customHeight="false" outlineLevel="0" collapsed="false">
      <c r="A264" s="21"/>
      <c r="B264" s="17"/>
      <c r="C264" s="17"/>
      <c r="D264" s="19"/>
      <c r="E264" s="20"/>
      <c r="F264" s="20"/>
      <c r="G264" s="20"/>
      <c r="H264" s="20"/>
      <c r="I264" s="17"/>
      <c r="J264" s="21"/>
      <c r="K264" s="20"/>
      <c r="L264" s="17"/>
      <c r="M264" s="20"/>
      <c r="N264" s="20"/>
      <c r="O264" s="17"/>
      <c r="P264" s="22" t="str">
        <f aca="false">IF(C264="","",IF(AND(M264="Sim",N264=""),"Agarrada sem motivo declarado",IF(AND(H264="Sim",I264=""),"Traciona hoje sem próximo passo",IF(AND(O264&lt;&gt;"",O264&gt;=14),"Parada há 14 dias ou mais",IF(AND(M264="Sim",O264&lt;&gt;"",O264&gt;=7),"Agarrada há 7 dias, escalar",IF(AND(I264&lt;&gt;"",J264=""),"Próximo passo sem data",""))))))</f>
        <v/>
      </c>
    </row>
    <row r="265" customFormat="false" ht="15" hidden="false" customHeight="false" outlineLevel="0" collapsed="false">
      <c r="A265" s="21"/>
      <c r="B265" s="17"/>
      <c r="C265" s="17"/>
      <c r="D265" s="19"/>
      <c r="E265" s="20"/>
      <c r="F265" s="20"/>
      <c r="G265" s="20"/>
      <c r="H265" s="20"/>
      <c r="I265" s="17"/>
      <c r="J265" s="21"/>
      <c r="K265" s="20"/>
      <c r="L265" s="17"/>
      <c r="M265" s="20"/>
      <c r="N265" s="20"/>
      <c r="O265" s="17"/>
      <c r="P265" s="22" t="str">
        <f aca="false">IF(C265="","",IF(AND(M265="Sim",N265=""),"Agarrada sem motivo declarado",IF(AND(H265="Sim",I265=""),"Traciona hoje sem próximo passo",IF(AND(O265&lt;&gt;"",O265&gt;=14),"Parada há 14 dias ou mais",IF(AND(M265="Sim",O265&lt;&gt;"",O265&gt;=7),"Agarrada há 7 dias, escalar",IF(AND(I265&lt;&gt;"",J265=""),"Próximo passo sem data",""))))))</f>
        <v/>
      </c>
    </row>
    <row r="266" customFormat="false" ht="15" hidden="false" customHeight="false" outlineLevel="0" collapsed="false">
      <c r="A266" s="21"/>
      <c r="B266" s="17"/>
      <c r="C266" s="17"/>
      <c r="D266" s="19"/>
      <c r="E266" s="20"/>
      <c r="F266" s="20"/>
      <c r="G266" s="20"/>
      <c r="H266" s="20"/>
      <c r="I266" s="17"/>
      <c r="J266" s="21"/>
      <c r="K266" s="20"/>
      <c r="L266" s="17"/>
      <c r="M266" s="20"/>
      <c r="N266" s="20"/>
      <c r="O266" s="17"/>
      <c r="P266" s="22" t="str">
        <f aca="false">IF(C266="","",IF(AND(M266="Sim",N266=""),"Agarrada sem motivo declarado",IF(AND(H266="Sim",I266=""),"Traciona hoje sem próximo passo",IF(AND(O266&lt;&gt;"",O266&gt;=14),"Parada há 14 dias ou mais",IF(AND(M266="Sim",O266&lt;&gt;"",O266&gt;=7),"Agarrada há 7 dias, escalar",IF(AND(I266&lt;&gt;"",J266=""),"Próximo passo sem data",""))))))</f>
        <v/>
      </c>
    </row>
    <row r="267" customFormat="false" ht="15" hidden="false" customHeight="false" outlineLevel="0" collapsed="false">
      <c r="A267" s="21"/>
      <c r="B267" s="17"/>
      <c r="C267" s="17"/>
      <c r="D267" s="19"/>
      <c r="E267" s="20"/>
      <c r="F267" s="20"/>
      <c r="G267" s="20"/>
      <c r="H267" s="20"/>
      <c r="I267" s="17"/>
      <c r="J267" s="21"/>
      <c r="K267" s="20"/>
      <c r="L267" s="17"/>
      <c r="M267" s="20"/>
      <c r="N267" s="20"/>
      <c r="O267" s="17"/>
      <c r="P267" s="22" t="str">
        <f aca="false">IF(C267="","",IF(AND(M267="Sim",N267=""),"Agarrada sem motivo declarado",IF(AND(H267="Sim",I267=""),"Traciona hoje sem próximo passo",IF(AND(O267&lt;&gt;"",O267&gt;=14),"Parada há 14 dias ou mais",IF(AND(M267="Sim",O267&lt;&gt;"",O267&gt;=7),"Agarrada há 7 dias, escalar",IF(AND(I267&lt;&gt;"",J267=""),"Próximo passo sem data",""))))))</f>
        <v/>
      </c>
    </row>
    <row r="268" customFormat="false" ht="15" hidden="false" customHeight="false" outlineLevel="0" collapsed="false">
      <c r="A268" s="21"/>
      <c r="B268" s="17"/>
      <c r="C268" s="17"/>
      <c r="D268" s="19"/>
      <c r="E268" s="20"/>
      <c r="F268" s="20"/>
      <c r="G268" s="20"/>
      <c r="H268" s="20"/>
      <c r="I268" s="17"/>
      <c r="J268" s="21"/>
      <c r="K268" s="20"/>
      <c r="L268" s="17"/>
      <c r="M268" s="20"/>
      <c r="N268" s="20"/>
      <c r="O268" s="17"/>
      <c r="P268" s="22" t="str">
        <f aca="false">IF(C268="","",IF(AND(M268="Sim",N268=""),"Agarrada sem motivo declarado",IF(AND(H268="Sim",I268=""),"Traciona hoje sem próximo passo",IF(AND(O268&lt;&gt;"",O268&gt;=14),"Parada há 14 dias ou mais",IF(AND(M268="Sim",O268&lt;&gt;"",O268&gt;=7),"Agarrada há 7 dias, escalar",IF(AND(I268&lt;&gt;"",J268=""),"Próximo passo sem data",""))))))</f>
        <v/>
      </c>
    </row>
    <row r="269" customFormat="false" ht="15" hidden="false" customHeight="false" outlineLevel="0" collapsed="false">
      <c r="A269" s="21"/>
      <c r="B269" s="17"/>
      <c r="C269" s="17"/>
      <c r="D269" s="19"/>
      <c r="E269" s="20"/>
      <c r="F269" s="20"/>
      <c r="G269" s="20"/>
      <c r="H269" s="20"/>
      <c r="I269" s="17"/>
      <c r="J269" s="21"/>
      <c r="K269" s="20"/>
      <c r="L269" s="17"/>
      <c r="M269" s="20"/>
      <c r="N269" s="20"/>
      <c r="O269" s="17"/>
      <c r="P269" s="22" t="str">
        <f aca="false">IF(C269="","",IF(AND(M269="Sim",N269=""),"Agarrada sem motivo declarado",IF(AND(H269="Sim",I269=""),"Traciona hoje sem próximo passo",IF(AND(O269&lt;&gt;"",O269&gt;=14),"Parada há 14 dias ou mais",IF(AND(M269="Sim",O269&lt;&gt;"",O269&gt;=7),"Agarrada há 7 dias, escalar",IF(AND(I269&lt;&gt;"",J269=""),"Próximo passo sem data",""))))))</f>
        <v/>
      </c>
    </row>
    <row r="270" customFormat="false" ht="15" hidden="false" customHeight="false" outlineLevel="0" collapsed="false">
      <c r="A270" s="21"/>
      <c r="B270" s="17"/>
      <c r="C270" s="17"/>
      <c r="D270" s="19"/>
      <c r="E270" s="20"/>
      <c r="F270" s="20"/>
      <c r="G270" s="20"/>
      <c r="H270" s="20"/>
      <c r="I270" s="17"/>
      <c r="J270" s="21"/>
      <c r="K270" s="20"/>
      <c r="L270" s="17"/>
      <c r="M270" s="20"/>
      <c r="N270" s="20"/>
      <c r="O270" s="17"/>
      <c r="P270" s="22" t="str">
        <f aca="false">IF(C270="","",IF(AND(M270="Sim",N270=""),"Agarrada sem motivo declarado",IF(AND(H270="Sim",I270=""),"Traciona hoje sem próximo passo",IF(AND(O270&lt;&gt;"",O270&gt;=14),"Parada há 14 dias ou mais",IF(AND(M270="Sim",O270&lt;&gt;"",O270&gt;=7),"Agarrada há 7 dias, escalar",IF(AND(I270&lt;&gt;"",J270=""),"Próximo passo sem data",""))))))</f>
        <v/>
      </c>
    </row>
    <row r="271" customFormat="false" ht="15" hidden="false" customHeight="false" outlineLevel="0" collapsed="false">
      <c r="A271" s="21"/>
      <c r="B271" s="17"/>
      <c r="C271" s="17"/>
      <c r="D271" s="19"/>
      <c r="E271" s="20"/>
      <c r="F271" s="20"/>
      <c r="G271" s="20"/>
      <c r="H271" s="20"/>
      <c r="I271" s="17"/>
      <c r="J271" s="21"/>
      <c r="K271" s="20"/>
      <c r="L271" s="17"/>
      <c r="M271" s="20"/>
      <c r="N271" s="20"/>
      <c r="O271" s="17"/>
      <c r="P271" s="22" t="str">
        <f aca="false">IF(C271="","",IF(AND(M271="Sim",N271=""),"Agarrada sem motivo declarado",IF(AND(H271="Sim",I271=""),"Traciona hoje sem próximo passo",IF(AND(O271&lt;&gt;"",O271&gt;=14),"Parada há 14 dias ou mais",IF(AND(M271="Sim",O271&lt;&gt;"",O271&gt;=7),"Agarrada há 7 dias, escalar",IF(AND(I271&lt;&gt;"",J271=""),"Próximo passo sem data",""))))))</f>
        <v/>
      </c>
    </row>
    <row r="272" customFormat="false" ht="15" hidden="false" customHeight="false" outlineLevel="0" collapsed="false">
      <c r="A272" s="21"/>
      <c r="B272" s="17"/>
      <c r="C272" s="17"/>
      <c r="D272" s="19"/>
      <c r="E272" s="20"/>
      <c r="F272" s="20"/>
      <c r="G272" s="20"/>
      <c r="H272" s="20"/>
      <c r="I272" s="17"/>
      <c r="J272" s="21"/>
      <c r="K272" s="20"/>
      <c r="L272" s="17"/>
      <c r="M272" s="20"/>
      <c r="N272" s="20"/>
      <c r="O272" s="17"/>
      <c r="P272" s="22" t="str">
        <f aca="false">IF(C272="","",IF(AND(M272="Sim",N272=""),"Agarrada sem motivo declarado",IF(AND(H272="Sim",I272=""),"Traciona hoje sem próximo passo",IF(AND(O272&lt;&gt;"",O272&gt;=14),"Parada há 14 dias ou mais",IF(AND(M272="Sim",O272&lt;&gt;"",O272&gt;=7),"Agarrada há 7 dias, escalar",IF(AND(I272&lt;&gt;"",J272=""),"Próximo passo sem data",""))))))</f>
        <v/>
      </c>
    </row>
    <row r="273" customFormat="false" ht="15" hidden="false" customHeight="false" outlineLevel="0" collapsed="false">
      <c r="A273" s="21"/>
      <c r="B273" s="17"/>
      <c r="C273" s="17"/>
      <c r="D273" s="19"/>
      <c r="E273" s="20"/>
      <c r="F273" s="20"/>
      <c r="G273" s="20"/>
      <c r="H273" s="20"/>
      <c r="I273" s="17"/>
      <c r="J273" s="21"/>
      <c r="K273" s="20"/>
      <c r="L273" s="17"/>
      <c r="M273" s="20"/>
      <c r="N273" s="20"/>
      <c r="O273" s="17"/>
      <c r="P273" s="22" t="str">
        <f aca="false">IF(C273="","",IF(AND(M273="Sim",N273=""),"Agarrada sem motivo declarado",IF(AND(H273="Sim",I273=""),"Traciona hoje sem próximo passo",IF(AND(O273&lt;&gt;"",O273&gt;=14),"Parada há 14 dias ou mais",IF(AND(M273="Sim",O273&lt;&gt;"",O273&gt;=7),"Agarrada há 7 dias, escalar",IF(AND(I273&lt;&gt;"",J273=""),"Próximo passo sem data",""))))))</f>
        <v/>
      </c>
    </row>
    <row r="274" customFormat="false" ht="15" hidden="false" customHeight="false" outlineLevel="0" collapsed="false">
      <c r="A274" s="21"/>
      <c r="B274" s="17"/>
      <c r="C274" s="17"/>
      <c r="D274" s="19"/>
      <c r="E274" s="20"/>
      <c r="F274" s="20"/>
      <c r="G274" s="20"/>
      <c r="H274" s="20"/>
      <c r="I274" s="17"/>
      <c r="J274" s="21"/>
      <c r="K274" s="20"/>
      <c r="L274" s="17"/>
      <c r="M274" s="20"/>
      <c r="N274" s="20"/>
      <c r="O274" s="17"/>
      <c r="P274" s="22" t="str">
        <f aca="false">IF(C274="","",IF(AND(M274="Sim",N274=""),"Agarrada sem motivo declarado",IF(AND(H274="Sim",I274=""),"Traciona hoje sem próximo passo",IF(AND(O274&lt;&gt;"",O274&gt;=14),"Parada há 14 dias ou mais",IF(AND(M274="Sim",O274&lt;&gt;"",O274&gt;=7),"Agarrada há 7 dias, escalar",IF(AND(I274&lt;&gt;"",J274=""),"Próximo passo sem data",""))))))</f>
        <v/>
      </c>
    </row>
    <row r="275" customFormat="false" ht="15" hidden="false" customHeight="false" outlineLevel="0" collapsed="false">
      <c r="A275" s="21"/>
      <c r="B275" s="17"/>
      <c r="C275" s="17"/>
      <c r="D275" s="19"/>
      <c r="E275" s="20"/>
      <c r="F275" s="20"/>
      <c r="G275" s="20"/>
      <c r="H275" s="20"/>
      <c r="I275" s="17"/>
      <c r="J275" s="21"/>
      <c r="K275" s="20"/>
      <c r="L275" s="17"/>
      <c r="M275" s="20"/>
      <c r="N275" s="20"/>
      <c r="O275" s="17"/>
      <c r="P275" s="22" t="str">
        <f aca="false">IF(C275="","",IF(AND(M275="Sim",N275=""),"Agarrada sem motivo declarado",IF(AND(H275="Sim",I275=""),"Traciona hoje sem próximo passo",IF(AND(O275&lt;&gt;"",O275&gt;=14),"Parada há 14 dias ou mais",IF(AND(M275="Sim",O275&lt;&gt;"",O275&gt;=7),"Agarrada há 7 dias, escalar",IF(AND(I275&lt;&gt;"",J275=""),"Próximo passo sem data",""))))))</f>
        <v/>
      </c>
    </row>
    <row r="276" customFormat="false" ht="15" hidden="false" customHeight="false" outlineLevel="0" collapsed="false">
      <c r="A276" s="21"/>
      <c r="B276" s="17"/>
      <c r="C276" s="17"/>
      <c r="D276" s="19"/>
      <c r="E276" s="20"/>
      <c r="F276" s="20"/>
      <c r="G276" s="20"/>
      <c r="H276" s="20"/>
      <c r="I276" s="17"/>
      <c r="J276" s="21"/>
      <c r="K276" s="20"/>
      <c r="L276" s="17"/>
      <c r="M276" s="20"/>
      <c r="N276" s="20"/>
      <c r="O276" s="17"/>
      <c r="P276" s="22" t="str">
        <f aca="false">IF(C276="","",IF(AND(M276="Sim",N276=""),"Agarrada sem motivo declarado",IF(AND(H276="Sim",I276=""),"Traciona hoje sem próximo passo",IF(AND(O276&lt;&gt;"",O276&gt;=14),"Parada há 14 dias ou mais",IF(AND(M276="Sim",O276&lt;&gt;"",O276&gt;=7),"Agarrada há 7 dias, escalar",IF(AND(I276&lt;&gt;"",J276=""),"Próximo passo sem data",""))))))</f>
        <v/>
      </c>
    </row>
    <row r="277" customFormat="false" ht="15" hidden="false" customHeight="false" outlineLevel="0" collapsed="false">
      <c r="A277" s="21"/>
      <c r="B277" s="17"/>
      <c r="C277" s="17"/>
      <c r="D277" s="19"/>
      <c r="E277" s="20"/>
      <c r="F277" s="20"/>
      <c r="G277" s="20"/>
      <c r="H277" s="20"/>
      <c r="I277" s="17"/>
      <c r="J277" s="21"/>
      <c r="K277" s="20"/>
      <c r="L277" s="17"/>
      <c r="M277" s="20"/>
      <c r="N277" s="20"/>
      <c r="O277" s="17"/>
      <c r="P277" s="22" t="str">
        <f aca="false">IF(C277="","",IF(AND(M277="Sim",N277=""),"Agarrada sem motivo declarado",IF(AND(H277="Sim",I277=""),"Traciona hoje sem próximo passo",IF(AND(O277&lt;&gt;"",O277&gt;=14),"Parada há 14 dias ou mais",IF(AND(M277="Sim",O277&lt;&gt;"",O277&gt;=7),"Agarrada há 7 dias, escalar",IF(AND(I277&lt;&gt;"",J277=""),"Próximo passo sem data",""))))))</f>
        <v/>
      </c>
    </row>
    <row r="278" customFormat="false" ht="15" hidden="false" customHeight="false" outlineLevel="0" collapsed="false">
      <c r="A278" s="21"/>
      <c r="B278" s="17"/>
      <c r="C278" s="17"/>
      <c r="D278" s="19"/>
      <c r="E278" s="20"/>
      <c r="F278" s="20"/>
      <c r="G278" s="20"/>
      <c r="H278" s="20"/>
      <c r="I278" s="17"/>
      <c r="J278" s="21"/>
      <c r="K278" s="20"/>
      <c r="L278" s="17"/>
      <c r="M278" s="20"/>
      <c r="N278" s="20"/>
      <c r="O278" s="17"/>
      <c r="P278" s="22" t="str">
        <f aca="false">IF(C278="","",IF(AND(M278="Sim",N278=""),"Agarrada sem motivo declarado",IF(AND(H278="Sim",I278=""),"Traciona hoje sem próximo passo",IF(AND(O278&lt;&gt;"",O278&gt;=14),"Parada há 14 dias ou mais",IF(AND(M278="Sim",O278&lt;&gt;"",O278&gt;=7),"Agarrada há 7 dias, escalar",IF(AND(I278&lt;&gt;"",J278=""),"Próximo passo sem data",""))))))</f>
        <v/>
      </c>
    </row>
    <row r="279" customFormat="false" ht="15" hidden="false" customHeight="false" outlineLevel="0" collapsed="false">
      <c r="A279" s="21"/>
      <c r="B279" s="17"/>
      <c r="C279" s="17"/>
      <c r="D279" s="19"/>
      <c r="E279" s="20"/>
      <c r="F279" s="20"/>
      <c r="G279" s="20"/>
      <c r="H279" s="20"/>
      <c r="I279" s="17"/>
      <c r="J279" s="21"/>
      <c r="K279" s="20"/>
      <c r="L279" s="17"/>
      <c r="M279" s="20"/>
      <c r="N279" s="20"/>
      <c r="O279" s="17"/>
      <c r="P279" s="22" t="str">
        <f aca="false">IF(C279="","",IF(AND(M279="Sim",N279=""),"Agarrada sem motivo declarado",IF(AND(H279="Sim",I279=""),"Traciona hoje sem próximo passo",IF(AND(O279&lt;&gt;"",O279&gt;=14),"Parada há 14 dias ou mais",IF(AND(M279="Sim",O279&lt;&gt;"",O279&gt;=7),"Agarrada há 7 dias, escalar",IF(AND(I279&lt;&gt;"",J279=""),"Próximo passo sem data",""))))))</f>
        <v/>
      </c>
    </row>
    <row r="280" customFormat="false" ht="15" hidden="false" customHeight="false" outlineLevel="0" collapsed="false">
      <c r="A280" s="21"/>
      <c r="B280" s="17"/>
      <c r="C280" s="17"/>
      <c r="D280" s="19"/>
      <c r="E280" s="20"/>
      <c r="F280" s="20"/>
      <c r="G280" s="20"/>
      <c r="H280" s="20"/>
      <c r="I280" s="17"/>
      <c r="J280" s="21"/>
      <c r="K280" s="20"/>
      <c r="L280" s="17"/>
      <c r="M280" s="20"/>
      <c r="N280" s="20"/>
      <c r="O280" s="17"/>
      <c r="P280" s="22" t="str">
        <f aca="false">IF(C280="","",IF(AND(M280="Sim",N280=""),"Agarrada sem motivo declarado",IF(AND(H280="Sim",I280=""),"Traciona hoje sem próximo passo",IF(AND(O280&lt;&gt;"",O280&gt;=14),"Parada há 14 dias ou mais",IF(AND(M280="Sim",O280&lt;&gt;"",O280&gt;=7),"Agarrada há 7 dias, escalar",IF(AND(I280&lt;&gt;"",J280=""),"Próximo passo sem data",""))))))</f>
        <v/>
      </c>
    </row>
    <row r="281" customFormat="false" ht="15" hidden="false" customHeight="false" outlineLevel="0" collapsed="false">
      <c r="A281" s="21"/>
      <c r="B281" s="17"/>
      <c r="C281" s="17"/>
      <c r="D281" s="19"/>
      <c r="E281" s="20"/>
      <c r="F281" s="20"/>
      <c r="G281" s="20"/>
      <c r="H281" s="20"/>
      <c r="I281" s="17"/>
      <c r="J281" s="21"/>
      <c r="K281" s="20"/>
      <c r="L281" s="17"/>
      <c r="M281" s="20"/>
      <c r="N281" s="20"/>
      <c r="O281" s="17"/>
      <c r="P281" s="22" t="str">
        <f aca="false">IF(C281="","",IF(AND(M281="Sim",N281=""),"Agarrada sem motivo declarado",IF(AND(H281="Sim",I281=""),"Traciona hoje sem próximo passo",IF(AND(O281&lt;&gt;"",O281&gt;=14),"Parada há 14 dias ou mais",IF(AND(M281="Sim",O281&lt;&gt;"",O281&gt;=7),"Agarrada há 7 dias, escalar",IF(AND(I281&lt;&gt;"",J281=""),"Próximo passo sem data",""))))))</f>
        <v/>
      </c>
    </row>
    <row r="282" customFormat="false" ht="15" hidden="false" customHeight="false" outlineLevel="0" collapsed="false">
      <c r="A282" s="21"/>
      <c r="B282" s="17"/>
      <c r="C282" s="17"/>
      <c r="D282" s="19"/>
      <c r="E282" s="20"/>
      <c r="F282" s="20"/>
      <c r="G282" s="20"/>
      <c r="H282" s="20"/>
      <c r="I282" s="17"/>
      <c r="J282" s="21"/>
      <c r="K282" s="20"/>
      <c r="L282" s="17"/>
      <c r="M282" s="20"/>
      <c r="N282" s="20"/>
      <c r="O282" s="17"/>
      <c r="P282" s="22" t="str">
        <f aca="false">IF(C282="","",IF(AND(M282="Sim",N282=""),"Agarrada sem motivo declarado",IF(AND(H282="Sim",I282=""),"Traciona hoje sem próximo passo",IF(AND(O282&lt;&gt;"",O282&gt;=14),"Parada há 14 dias ou mais",IF(AND(M282="Sim",O282&lt;&gt;"",O282&gt;=7),"Agarrada há 7 dias, escalar",IF(AND(I282&lt;&gt;"",J282=""),"Próximo passo sem data",""))))))</f>
        <v/>
      </c>
    </row>
    <row r="283" customFormat="false" ht="15" hidden="false" customHeight="false" outlineLevel="0" collapsed="false">
      <c r="A283" s="21"/>
      <c r="B283" s="17"/>
      <c r="C283" s="17"/>
      <c r="D283" s="19"/>
      <c r="E283" s="20"/>
      <c r="F283" s="20"/>
      <c r="G283" s="20"/>
      <c r="H283" s="20"/>
      <c r="I283" s="17"/>
      <c r="J283" s="21"/>
      <c r="K283" s="20"/>
      <c r="L283" s="17"/>
      <c r="M283" s="20"/>
      <c r="N283" s="20"/>
      <c r="O283" s="17"/>
      <c r="P283" s="22" t="str">
        <f aca="false">IF(C283="","",IF(AND(M283="Sim",N283=""),"Agarrada sem motivo declarado",IF(AND(H283="Sim",I283=""),"Traciona hoje sem próximo passo",IF(AND(O283&lt;&gt;"",O283&gt;=14),"Parada há 14 dias ou mais",IF(AND(M283="Sim",O283&lt;&gt;"",O283&gt;=7),"Agarrada há 7 dias, escalar",IF(AND(I283&lt;&gt;"",J283=""),"Próximo passo sem data",""))))))</f>
        <v/>
      </c>
    </row>
    <row r="284" customFormat="false" ht="15" hidden="false" customHeight="false" outlineLevel="0" collapsed="false">
      <c r="A284" s="21"/>
      <c r="B284" s="17"/>
      <c r="C284" s="17"/>
      <c r="D284" s="19"/>
      <c r="E284" s="20"/>
      <c r="F284" s="20"/>
      <c r="G284" s="20"/>
      <c r="H284" s="20"/>
      <c r="I284" s="17"/>
      <c r="J284" s="21"/>
      <c r="K284" s="20"/>
      <c r="L284" s="17"/>
      <c r="M284" s="20"/>
      <c r="N284" s="20"/>
      <c r="O284" s="17"/>
      <c r="P284" s="22" t="str">
        <f aca="false">IF(C284="","",IF(AND(M284="Sim",N284=""),"Agarrada sem motivo declarado",IF(AND(H284="Sim",I284=""),"Traciona hoje sem próximo passo",IF(AND(O284&lt;&gt;"",O284&gt;=14),"Parada há 14 dias ou mais",IF(AND(M284="Sim",O284&lt;&gt;"",O284&gt;=7),"Agarrada há 7 dias, escalar",IF(AND(I284&lt;&gt;"",J284=""),"Próximo passo sem data",""))))))</f>
        <v/>
      </c>
    </row>
    <row r="285" customFormat="false" ht="15" hidden="false" customHeight="false" outlineLevel="0" collapsed="false">
      <c r="A285" s="21"/>
      <c r="B285" s="17"/>
      <c r="C285" s="17"/>
      <c r="D285" s="19"/>
      <c r="E285" s="20"/>
      <c r="F285" s="20"/>
      <c r="G285" s="20"/>
      <c r="H285" s="20"/>
      <c r="I285" s="17"/>
      <c r="J285" s="21"/>
      <c r="K285" s="20"/>
      <c r="L285" s="17"/>
      <c r="M285" s="20"/>
      <c r="N285" s="20"/>
      <c r="O285" s="17"/>
      <c r="P285" s="22" t="str">
        <f aca="false">IF(C285="","",IF(AND(M285="Sim",N285=""),"Agarrada sem motivo declarado",IF(AND(H285="Sim",I285=""),"Traciona hoje sem próximo passo",IF(AND(O285&lt;&gt;"",O285&gt;=14),"Parada há 14 dias ou mais",IF(AND(M285="Sim",O285&lt;&gt;"",O285&gt;=7),"Agarrada há 7 dias, escalar",IF(AND(I285&lt;&gt;"",J285=""),"Próximo passo sem data",""))))))</f>
        <v/>
      </c>
    </row>
    <row r="286" customFormat="false" ht="15" hidden="false" customHeight="false" outlineLevel="0" collapsed="false">
      <c r="A286" s="21"/>
      <c r="B286" s="17"/>
      <c r="C286" s="17"/>
      <c r="D286" s="19"/>
      <c r="E286" s="20"/>
      <c r="F286" s="20"/>
      <c r="G286" s="20"/>
      <c r="H286" s="20"/>
      <c r="I286" s="17"/>
      <c r="J286" s="21"/>
      <c r="K286" s="20"/>
      <c r="L286" s="17"/>
      <c r="M286" s="20"/>
      <c r="N286" s="20"/>
      <c r="O286" s="17"/>
      <c r="P286" s="22" t="str">
        <f aca="false">IF(C286="","",IF(AND(M286="Sim",N286=""),"Agarrada sem motivo declarado",IF(AND(H286="Sim",I286=""),"Traciona hoje sem próximo passo",IF(AND(O286&lt;&gt;"",O286&gt;=14),"Parada há 14 dias ou mais",IF(AND(M286="Sim",O286&lt;&gt;"",O286&gt;=7),"Agarrada há 7 dias, escalar",IF(AND(I286&lt;&gt;"",J286=""),"Próximo passo sem data",""))))))</f>
        <v/>
      </c>
    </row>
    <row r="287" customFormat="false" ht="15" hidden="false" customHeight="false" outlineLevel="0" collapsed="false">
      <c r="A287" s="21"/>
      <c r="B287" s="17"/>
      <c r="C287" s="17"/>
      <c r="D287" s="19"/>
      <c r="E287" s="20"/>
      <c r="F287" s="20"/>
      <c r="G287" s="20"/>
      <c r="H287" s="20"/>
      <c r="I287" s="17"/>
      <c r="J287" s="21"/>
      <c r="K287" s="20"/>
      <c r="L287" s="17"/>
      <c r="M287" s="20"/>
      <c r="N287" s="20"/>
      <c r="O287" s="17"/>
      <c r="P287" s="22" t="str">
        <f aca="false">IF(C287="","",IF(AND(M287="Sim",N287=""),"Agarrada sem motivo declarado",IF(AND(H287="Sim",I287=""),"Traciona hoje sem próximo passo",IF(AND(O287&lt;&gt;"",O287&gt;=14),"Parada há 14 dias ou mais",IF(AND(M287="Sim",O287&lt;&gt;"",O287&gt;=7),"Agarrada há 7 dias, escalar",IF(AND(I287&lt;&gt;"",J287=""),"Próximo passo sem data",""))))))</f>
        <v/>
      </c>
    </row>
    <row r="288" customFormat="false" ht="15" hidden="false" customHeight="false" outlineLevel="0" collapsed="false">
      <c r="A288" s="21"/>
      <c r="B288" s="17"/>
      <c r="C288" s="17"/>
      <c r="D288" s="19"/>
      <c r="E288" s="20"/>
      <c r="F288" s="20"/>
      <c r="G288" s="20"/>
      <c r="H288" s="20"/>
      <c r="I288" s="17"/>
      <c r="J288" s="21"/>
      <c r="K288" s="20"/>
      <c r="L288" s="17"/>
      <c r="M288" s="20"/>
      <c r="N288" s="20"/>
      <c r="O288" s="17"/>
      <c r="P288" s="22" t="str">
        <f aca="false">IF(C288="","",IF(AND(M288="Sim",N288=""),"Agarrada sem motivo declarado",IF(AND(H288="Sim",I288=""),"Traciona hoje sem próximo passo",IF(AND(O288&lt;&gt;"",O288&gt;=14),"Parada há 14 dias ou mais",IF(AND(M288="Sim",O288&lt;&gt;"",O288&gt;=7),"Agarrada há 7 dias, escalar",IF(AND(I288&lt;&gt;"",J288=""),"Próximo passo sem data",""))))))</f>
        <v/>
      </c>
    </row>
    <row r="289" customFormat="false" ht="15" hidden="false" customHeight="false" outlineLevel="0" collapsed="false">
      <c r="A289" s="21"/>
      <c r="B289" s="17"/>
      <c r="C289" s="17"/>
      <c r="D289" s="19"/>
      <c r="E289" s="20"/>
      <c r="F289" s="20"/>
      <c r="G289" s="20"/>
      <c r="H289" s="20"/>
      <c r="I289" s="17"/>
      <c r="J289" s="21"/>
      <c r="K289" s="20"/>
      <c r="L289" s="17"/>
      <c r="M289" s="20"/>
      <c r="N289" s="20"/>
      <c r="O289" s="17"/>
      <c r="P289" s="22" t="str">
        <f aca="false">IF(C289="","",IF(AND(M289="Sim",N289=""),"Agarrada sem motivo declarado",IF(AND(H289="Sim",I289=""),"Traciona hoje sem próximo passo",IF(AND(O289&lt;&gt;"",O289&gt;=14),"Parada há 14 dias ou mais",IF(AND(M289="Sim",O289&lt;&gt;"",O289&gt;=7),"Agarrada há 7 dias, escalar",IF(AND(I289&lt;&gt;"",J289=""),"Próximo passo sem data",""))))))</f>
        <v/>
      </c>
    </row>
    <row r="290" customFormat="false" ht="15" hidden="false" customHeight="false" outlineLevel="0" collapsed="false">
      <c r="A290" s="21"/>
      <c r="B290" s="17"/>
      <c r="C290" s="17"/>
      <c r="D290" s="19"/>
      <c r="E290" s="20"/>
      <c r="F290" s="20"/>
      <c r="G290" s="20"/>
      <c r="H290" s="20"/>
      <c r="I290" s="17"/>
      <c r="J290" s="21"/>
      <c r="K290" s="20"/>
      <c r="L290" s="17"/>
      <c r="M290" s="20"/>
      <c r="N290" s="20"/>
      <c r="O290" s="17"/>
      <c r="P290" s="22" t="str">
        <f aca="false">IF(C290="","",IF(AND(M290="Sim",N290=""),"Agarrada sem motivo declarado",IF(AND(H290="Sim",I290=""),"Traciona hoje sem próximo passo",IF(AND(O290&lt;&gt;"",O290&gt;=14),"Parada há 14 dias ou mais",IF(AND(M290="Sim",O290&lt;&gt;"",O290&gt;=7),"Agarrada há 7 dias, escalar",IF(AND(I290&lt;&gt;"",J290=""),"Próximo passo sem data",""))))))</f>
        <v/>
      </c>
    </row>
    <row r="291" customFormat="false" ht="15" hidden="false" customHeight="false" outlineLevel="0" collapsed="false">
      <c r="A291" s="21"/>
      <c r="B291" s="17"/>
      <c r="C291" s="17"/>
      <c r="D291" s="19"/>
      <c r="E291" s="20"/>
      <c r="F291" s="20"/>
      <c r="G291" s="20"/>
      <c r="H291" s="20"/>
      <c r="I291" s="17"/>
      <c r="J291" s="21"/>
      <c r="K291" s="20"/>
      <c r="L291" s="17"/>
      <c r="M291" s="20"/>
      <c r="N291" s="20"/>
      <c r="O291" s="17"/>
      <c r="P291" s="22" t="str">
        <f aca="false">IF(C291="","",IF(AND(M291="Sim",N291=""),"Agarrada sem motivo declarado",IF(AND(H291="Sim",I291=""),"Traciona hoje sem próximo passo",IF(AND(O291&lt;&gt;"",O291&gt;=14),"Parada há 14 dias ou mais",IF(AND(M291="Sim",O291&lt;&gt;"",O291&gt;=7),"Agarrada há 7 dias, escalar",IF(AND(I291&lt;&gt;"",J291=""),"Próximo passo sem data",""))))))</f>
        <v/>
      </c>
    </row>
    <row r="292" customFormat="false" ht="15" hidden="false" customHeight="false" outlineLevel="0" collapsed="false">
      <c r="A292" s="21"/>
      <c r="B292" s="17"/>
      <c r="C292" s="17"/>
      <c r="D292" s="19"/>
      <c r="E292" s="20"/>
      <c r="F292" s="20"/>
      <c r="G292" s="20"/>
      <c r="H292" s="20"/>
      <c r="I292" s="17"/>
      <c r="J292" s="21"/>
      <c r="K292" s="20"/>
      <c r="L292" s="17"/>
      <c r="M292" s="20"/>
      <c r="N292" s="20"/>
      <c r="O292" s="17"/>
      <c r="P292" s="22" t="str">
        <f aca="false">IF(C292="","",IF(AND(M292="Sim",N292=""),"Agarrada sem motivo declarado",IF(AND(H292="Sim",I292=""),"Traciona hoje sem próximo passo",IF(AND(O292&lt;&gt;"",O292&gt;=14),"Parada há 14 dias ou mais",IF(AND(M292="Sim",O292&lt;&gt;"",O292&gt;=7),"Agarrada há 7 dias, escalar",IF(AND(I292&lt;&gt;"",J292=""),"Próximo passo sem data",""))))))</f>
        <v/>
      </c>
    </row>
    <row r="293" customFormat="false" ht="15" hidden="false" customHeight="false" outlineLevel="0" collapsed="false">
      <c r="A293" s="21"/>
      <c r="B293" s="17"/>
      <c r="C293" s="17"/>
      <c r="D293" s="19"/>
      <c r="E293" s="20"/>
      <c r="F293" s="20"/>
      <c r="G293" s="20"/>
      <c r="H293" s="20"/>
      <c r="I293" s="17"/>
      <c r="J293" s="21"/>
      <c r="K293" s="20"/>
      <c r="L293" s="17"/>
      <c r="M293" s="20"/>
      <c r="N293" s="20"/>
      <c r="O293" s="17"/>
      <c r="P293" s="22" t="str">
        <f aca="false">IF(C293="","",IF(AND(M293="Sim",N293=""),"Agarrada sem motivo declarado",IF(AND(H293="Sim",I293=""),"Traciona hoje sem próximo passo",IF(AND(O293&lt;&gt;"",O293&gt;=14),"Parada há 14 dias ou mais",IF(AND(M293="Sim",O293&lt;&gt;"",O293&gt;=7),"Agarrada há 7 dias, escalar",IF(AND(I293&lt;&gt;"",J293=""),"Próximo passo sem data",""))))))</f>
        <v/>
      </c>
    </row>
    <row r="294" customFormat="false" ht="15" hidden="false" customHeight="false" outlineLevel="0" collapsed="false">
      <c r="A294" s="21"/>
      <c r="B294" s="17"/>
      <c r="C294" s="17"/>
      <c r="D294" s="19"/>
      <c r="E294" s="20"/>
      <c r="F294" s="20"/>
      <c r="G294" s="20"/>
      <c r="H294" s="20"/>
      <c r="I294" s="17"/>
      <c r="J294" s="21"/>
      <c r="K294" s="20"/>
      <c r="L294" s="17"/>
      <c r="M294" s="20"/>
      <c r="N294" s="20"/>
      <c r="O294" s="17"/>
      <c r="P294" s="22" t="str">
        <f aca="false">IF(C294="","",IF(AND(M294="Sim",N294=""),"Agarrada sem motivo declarado",IF(AND(H294="Sim",I294=""),"Traciona hoje sem próximo passo",IF(AND(O294&lt;&gt;"",O294&gt;=14),"Parada há 14 dias ou mais",IF(AND(M294="Sim",O294&lt;&gt;"",O294&gt;=7),"Agarrada há 7 dias, escalar",IF(AND(I294&lt;&gt;"",J294=""),"Próximo passo sem data",""))))))</f>
        <v/>
      </c>
    </row>
    <row r="295" customFormat="false" ht="15" hidden="false" customHeight="false" outlineLevel="0" collapsed="false">
      <c r="A295" s="21"/>
      <c r="B295" s="17"/>
      <c r="C295" s="17"/>
      <c r="D295" s="19"/>
      <c r="E295" s="20"/>
      <c r="F295" s="20"/>
      <c r="G295" s="20"/>
      <c r="H295" s="20"/>
      <c r="I295" s="17"/>
      <c r="J295" s="21"/>
      <c r="K295" s="20"/>
      <c r="L295" s="17"/>
      <c r="M295" s="20"/>
      <c r="N295" s="20"/>
      <c r="O295" s="17"/>
      <c r="P295" s="22" t="str">
        <f aca="false">IF(C295="","",IF(AND(M295="Sim",N295=""),"Agarrada sem motivo declarado",IF(AND(H295="Sim",I295=""),"Traciona hoje sem próximo passo",IF(AND(O295&lt;&gt;"",O295&gt;=14),"Parada há 14 dias ou mais",IF(AND(M295="Sim",O295&lt;&gt;"",O295&gt;=7),"Agarrada há 7 dias, escalar",IF(AND(I295&lt;&gt;"",J295=""),"Próximo passo sem data",""))))))</f>
        <v/>
      </c>
    </row>
    <row r="296" customFormat="false" ht="15" hidden="false" customHeight="false" outlineLevel="0" collapsed="false">
      <c r="A296" s="21"/>
      <c r="B296" s="17"/>
      <c r="C296" s="17"/>
      <c r="D296" s="19"/>
      <c r="E296" s="20"/>
      <c r="F296" s="20"/>
      <c r="G296" s="20"/>
      <c r="H296" s="20"/>
      <c r="I296" s="17"/>
      <c r="J296" s="21"/>
      <c r="K296" s="20"/>
      <c r="L296" s="17"/>
      <c r="M296" s="20"/>
      <c r="N296" s="20"/>
      <c r="O296" s="17"/>
      <c r="P296" s="22" t="str">
        <f aca="false">IF(C296="","",IF(AND(M296="Sim",N296=""),"Agarrada sem motivo declarado",IF(AND(H296="Sim",I296=""),"Traciona hoje sem próximo passo",IF(AND(O296&lt;&gt;"",O296&gt;=14),"Parada há 14 dias ou mais",IF(AND(M296="Sim",O296&lt;&gt;"",O296&gt;=7),"Agarrada há 7 dias, escalar",IF(AND(I296&lt;&gt;"",J296=""),"Próximo passo sem data",""))))))</f>
        <v/>
      </c>
    </row>
    <row r="297" customFormat="false" ht="15" hidden="false" customHeight="false" outlineLevel="0" collapsed="false">
      <c r="A297" s="21"/>
      <c r="B297" s="17"/>
      <c r="C297" s="17"/>
      <c r="D297" s="19"/>
      <c r="E297" s="20"/>
      <c r="F297" s="20"/>
      <c r="G297" s="20"/>
      <c r="H297" s="20"/>
      <c r="I297" s="17"/>
      <c r="J297" s="21"/>
      <c r="K297" s="20"/>
      <c r="L297" s="17"/>
      <c r="M297" s="20"/>
      <c r="N297" s="20"/>
      <c r="O297" s="17"/>
      <c r="P297" s="22" t="str">
        <f aca="false">IF(C297="","",IF(AND(M297="Sim",N297=""),"Agarrada sem motivo declarado",IF(AND(H297="Sim",I297=""),"Traciona hoje sem próximo passo",IF(AND(O297&lt;&gt;"",O297&gt;=14),"Parada há 14 dias ou mais",IF(AND(M297="Sim",O297&lt;&gt;"",O297&gt;=7),"Agarrada há 7 dias, escalar",IF(AND(I297&lt;&gt;"",J297=""),"Próximo passo sem data",""))))))</f>
        <v/>
      </c>
    </row>
    <row r="298" customFormat="false" ht="15" hidden="false" customHeight="false" outlineLevel="0" collapsed="false">
      <c r="A298" s="21"/>
      <c r="B298" s="17"/>
      <c r="C298" s="17"/>
      <c r="D298" s="19"/>
      <c r="E298" s="20"/>
      <c r="F298" s="20"/>
      <c r="G298" s="20"/>
      <c r="H298" s="20"/>
      <c r="I298" s="17"/>
      <c r="J298" s="21"/>
      <c r="K298" s="20"/>
      <c r="L298" s="17"/>
      <c r="M298" s="20"/>
      <c r="N298" s="20"/>
      <c r="O298" s="17"/>
      <c r="P298" s="22" t="str">
        <f aca="false">IF(C298="","",IF(AND(M298="Sim",N298=""),"Agarrada sem motivo declarado",IF(AND(H298="Sim",I298=""),"Traciona hoje sem próximo passo",IF(AND(O298&lt;&gt;"",O298&gt;=14),"Parada há 14 dias ou mais",IF(AND(M298="Sim",O298&lt;&gt;"",O298&gt;=7),"Agarrada há 7 dias, escalar",IF(AND(I298&lt;&gt;"",J298=""),"Próximo passo sem data",""))))))</f>
        <v/>
      </c>
    </row>
    <row r="299" customFormat="false" ht="15" hidden="false" customHeight="false" outlineLevel="0" collapsed="false">
      <c r="A299" s="21"/>
      <c r="B299" s="17"/>
      <c r="C299" s="17"/>
      <c r="D299" s="19"/>
      <c r="E299" s="20"/>
      <c r="F299" s="20"/>
      <c r="G299" s="20"/>
      <c r="H299" s="20"/>
      <c r="I299" s="17"/>
      <c r="J299" s="21"/>
      <c r="K299" s="20"/>
      <c r="L299" s="17"/>
      <c r="M299" s="20"/>
      <c r="N299" s="20"/>
      <c r="O299" s="17"/>
      <c r="P299" s="22" t="str">
        <f aca="false">IF(C299="","",IF(AND(M299="Sim",N299=""),"Agarrada sem motivo declarado",IF(AND(H299="Sim",I299=""),"Traciona hoje sem próximo passo",IF(AND(O299&lt;&gt;"",O299&gt;=14),"Parada há 14 dias ou mais",IF(AND(M299="Sim",O299&lt;&gt;"",O299&gt;=7),"Agarrada há 7 dias, escalar",IF(AND(I299&lt;&gt;"",J299=""),"Próximo passo sem data",""))))))</f>
        <v/>
      </c>
    </row>
    <row r="300" customFormat="false" ht="15" hidden="false" customHeight="false" outlineLevel="0" collapsed="false">
      <c r="A300" s="21"/>
      <c r="B300" s="17"/>
      <c r="C300" s="17"/>
      <c r="D300" s="19"/>
      <c r="E300" s="20"/>
      <c r="F300" s="20"/>
      <c r="G300" s="20"/>
      <c r="H300" s="20"/>
      <c r="I300" s="17"/>
      <c r="J300" s="21"/>
      <c r="K300" s="20"/>
      <c r="L300" s="17"/>
      <c r="M300" s="20"/>
      <c r="N300" s="20"/>
      <c r="O300" s="17"/>
      <c r="P300" s="22" t="str">
        <f aca="false">IF(C300="","",IF(AND(M300="Sim",N300=""),"Agarrada sem motivo declarado",IF(AND(H300="Sim",I300=""),"Traciona hoje sem próximo passo",IF(AND(O300&lt;&gt;"",O300&gt;=14),"Parada há 14 dias ou mais",IF(AND(M300="Sim",O300&lt;&gt;"",O300&gt;=7),"Agarrada há 7 dias, escalar",IF(AND(I300&lt;&gt;"",J300=""),"Próximo passo sem data",""))))))</f>
        <v/>
      </c>
    </row>
    <row r="301" customFormat="false" ht="15" hidden="false" customHeight="false" outlineLevel="0" collapsed="false">
      <c r="A301" s="21"/>
      <c r="B301" s="17"/>
      <c r="C301" s="17"/>
      <c r="D301" s="19"/>
      <c r="E301" s="20"/>
      <c r="F301" s="20"/>
      <c r="G301" s="20"/>
      <c r="H301" s="20"/>
      <c r="I301" s="17"/>
      <c r="J301" s="21"/>
      <c r="K301" s="20"/>
      <c r="L301" s="17"/>
      <c r="M301" s="20"/>
      <c r="N301" s="20"/>
      <c r="O301" s="17"/>
      <c r="P301" s="22" t="str">
        <f aca="false">IF(C301="","",IF(AND(M301="Sim",N301=""),"Agarrada sem motivo declarado",IF(AND(H301="Sim",I301=""),"Traciona hoje sem próximo passo",IF(AND(O301&lt;&gt;"",O301&gt;=14),"Parada há 14 dias ou mais",IF(AND(M301="Sim",O301&lt;&gt;"",O301&gt;=7),"Agarrada há 7 dias, escalar",IF(AND(I301&lt;&gt;"",J301=""),"Próximo passo sem data",""))))))</f>
        <v/>
      </c>
    </row>
    <row r="302" customFormat="false" ht="15" hidden="false" customHeight="false" outlineLevel="0" collapsed="false">
      <c r="A302" s="21"/>
      <c r="B302" s="17"/>
      <c r="C302" s="17"/>
      <c r="D302" s="19"/>
      <c r="E302" s="20"/>
      <c r="F302" s="20"/>
      <c r="G302" s="20"/>
      <c r="H302" s="20"/>
      <c r="I302" s="17"/>
      <c r="J302" s="21"/>
      <c r="K302" s="20"/>
      <c r="L302" s="17"/>
      <c r="M302" s="20"/>
      <c r="N302" s="20"/>
      <c r="O302" s="17"/>
      <c r="P302" s="22" t="str">
        <f aca="false">IF(C302="","",IF(AND(M302="Sim",N302=""),"Agarrada sem motivo declarado",IF(AND(H302="Sim",I302=""),"Traciona hoje sem próximo passo",IF(AND(O302&lt;&gt;"",O302&gt;=14),"Parada há 14 dias ou mais",IF(AND(M302="Sim",O302&lt;&gt;"",O302&gt;=7),"Agarrada há 7 dias, escalar",IF(AND(I302&lt;&gt;"",J302=""),"Próximo passo sem data",""))))))</f>
        <v/>
      </c>
    </row>
    <row r="303" customFormat="false" ht="15" hidden="false" customHeight="false" outlineLevel="0" collapsed="false">
      <c r="A303" s="21"/>
      <c r="B303" s="17"/>
      <c r="C303" s="17"/>
      <c r="D303" s="19"/>
      <c r="E303" s="20"/>
      <c r="F303" s="20"/>
      <c r="G303" s="20"/>
      <c r="H303" s="20"/>
      <c r="I303" s="17"/>
      <c r="J303" s="21"/>
      <c r="K303" s="20"/>
      <c r="L303" s="17"/>
      <c r="M303" s="20"/>
      <c r="N303" s="20"/>
      <c r="O303" s="17"/>
      <c r="P303" s="22" t="str">
        <f aca="false">IF(C303="","",IF(AND(M303="Sim",N303=""),"Agarrada sem motivo declarado",IF(AND(H303="Sim",I303=""),"Traciona hoje sem próximo passo",IF(AND(O303&lt;&gt;"",O303&gt;=14),"Parada há 14 dias ou mais",IF(AND(M303="Sim",O303&lt;&gt;"",O303&gt;=7),"Agarrada há 7 dias, escalar",IF(AND(I303&lt;&gt;"",J303=""),"Próximo passo sem data",""))))))</f>
        <v/>
      </c>
    </row>
    <row r="304" customFormat="false" ht="15" hidden="false" customHeight="false" outlineLevel="0" collapsed="false">
      <c r="A304" s="21"/>
      <c r="B304" s="17"/>
      <c r="C304" s="17"/>
      <c r="D304" s="19"/>
      <c r="E304" s="20"/>
      <c r="F304" s="20"/>
      <c r="G304" s="20"/>
      <c r="H304" s="20"/>
      <c r="I304" s="17"/>
      <c r="J304" s="21"/>
      <c r="K304" s="20"/>
      <c r="L304" s="17"/>
      <c r="M304" s="20"/>
      <c r="N304" s="20"/>
      <c r="O304" s="17"/>
      <c r="P304" s="22" t="str">
        <f aca="false">IF(C304="","",IF(AND(M304="Sim",N304=""),"Agarrada sem motivo declarado",IF(AND(H304="Sim",I304=""),"Traciona hoje sem próximo passo",IF(AND(O304&lt;&gt;"",O304&gt;=14),"Parada há 14 dias ou mais",IF(AND(M304="Sim",O304&lt;&gt;"",O304&gt;=7),"Agarrada há 7 dias, escalar",IF(AND(I304&lt;&gt;"",J304=""),"Próximo passo sem data",""))))))</f>
        <v/>
      </c>
    </row>
    <row r="305" customFormat="false" ht="15" hidden="false" customHeight="false" outlineLevel="0" collapsed="false">
      <c r="A305" s="21"/>
      <c r="B305" s="17"/>
      <c r="C305" s="17"/>
      <c r="D305" s="19"/>
      <c r="E305" s="20"/>
      <c r="F305" s="20"/>
      <c r="G305" s="20"/>
      <c r="H305" s="20"/>
      <c r="I305" s="17"/>
      <c r="J305" s="21"/>
      <c r="K305" s="20"/>
      <c r="L305" s="17"/>
      <c r="M305" s="20"/>
      <c r="N305" s="20"/>
      <c r="O305" s="17"/>
      <c r="P305" s="22" t="str">
        <f aca="false">IF(C305="","",IF(AND(M305="Sim",N305=""),"Agarrada sem motivo declarado",IF(AND(H305="Sim",I305=""),"Traciona hoje sem próximo passo",IF(AND(O305&lt;&gt;"",O305&gt;=14),"Parada há 14 dias ou mais",IF(AND(M305="Sim",O305&lt;&gt;"",O305&gt;=7),"Agarrada há 7 dias, escalar",IF(AND(I305&lt;&gt;"",J305=""),"Próximo passo sem data",""))))))</f>
        <v/>
      </c>
    </row>
    <row r="306" customFormat="false" ht="15" hidden="false" customHeight="false" outlineLevel="0" collapsed="false">
      <c r="A306" s="21"/>
      <c r="B306" s="17"/>
      <c r="C306" s="17"/>
      <c r="D306" s="19"/>
      <c r="E306" s="20"/>
      <c r="F306" s="20"/>
      <c r="G306" s="20"/>
      <c r="H306" s="20"/>
      <c r="I306" s="17"/>
      <c r="J306" s="21"/>
      <c r="K306" s="20"/>
      <c r="L306" s="17"/>
      <c r="M306" s="20"/>
      <c r="N306" s="20"/>
      <c r="O306" s="17"/>
      <c r="P306" s="22" t="str">
        <f aca="false">IF(C306="","",IF(AND(M306="Sim",N306=""),"Agarrada sem motivo declarado",IF(AND(H306="Sim",I306=""),"Traciona hoje sem próximo passo",IF(AND(O306&lt;&gt;"",O306&gt;=14),"Parada há 14 dias ou mais",IF(AND(M306="Sim",O306&lt;&gt;"",O306&gt;=7),"Agarrada há 7 dias, escalar",IF(AND(I306&lt;&gt;"",J306=""),"Próximo passo sem data",""))))))</f>
        <v/>
      </c>
    </row>
    <row r="307" customFormat="false" ht="15" hidden="false" customHeight="false" outlineLevel="0" collapsed="false">
      <c r="A307" s="21"/>
      <c r="B307" s="17"/>
      <c r="C307" s="17"/>
      <c r="D307" s="19"/>
      <c r="E307" s="20"/>
      <c r="F307" s="20"/>
      <c r="G307" s="20"/>
      <c r="H307" s="20"/>
      <c r="I307" s="17"/>
      <c r="J307" s="21"/>
      <c r="K307" s="20"/>
      <c r="L307" s="17"/>
      <c r="M307" s="20"/>
      <c r="N307" s="20"/>
      <c r="O307" s="17"/>
      <c r="P307" s="22" t="str">
        <f aca="false">IF(C307="","",IF(AND(M307="Sim",N307=""),"Agarrada sem motivo declarado",IF(AND(H307="Sim",I307=""),"Traciona hoje sem próximo passo",IF(AND(O307&lt;&gt;"",O307&gt;=14),"Parada há 14 dias ou mais",IF(AND(M307="Sim",O307&lt;&gt;"",O307&gt;=7),"Agarrada há 7 dias, escalar",IF(AND(I307&lt;&gt;"",J307=""),"Próximo passo sem data",""))))))</f>
        <v/>
      </c>
    </row>
    <row r="308" customFormat="false" ht="15" hidden="false" customHeight="false" outlineLevel="0" collapsed="false">
      <c r="A308" s="21"/>
      <c r="B308" s="17"/>
      <c r="C308" s="17"/>
      <c r="D308" s="19"/>
      <c r="E308" s="20"/>
      <c r="F308" s="20"/>
      <c r="G308" s="20"/>
      <c r="H308" s="20"/>
      <c r="I308" s="17"/>
      <c r="J308" s="21"/>
      <c r="K308" s="20"/>
      <c r="L308" s="17"/>
      <c r="M308" s="20"/>
      <c r="N308" s="20"/>
      <c r="O308" s="17"/>
      <c r="P308" s="22" t="str">
        <f aca="false">IF(C308="","",IF(AND(M308="Sim",N308=""),"Agarrada sem motivo declarado",IF(AND(H308="Sim",I308=""),"Traciona hoje sem próximo passo",IF(AND(O308&lt;&gt;"",O308&gt;=14),"Parada há 14 dias ou mais",IF(AND(M308="Sim",O308&lt;&gt;"",O308&gt;=7),"Agarrada há 7 dias, escalar",IF(AND(I308&lt;&gt;"",J308=""),"Próximo passo sem data",""))))))</f>
        <v/>
      </c>
    </row>
    <row r="309" customFormat="false" ht="15" hidden="false" customHeight="false" outlineLevel="0" collapsed="false">
      <c r="A309" s="21"/>
      <c r="B309" s="17"/>
      <c r="C309" s="17"/>
      <c r="D309" s="19"/>
      <c r="E309" s="20"/>
      <c r="F309" s="20"/>
      <c r="G309" s="20"/>
      <c r="H309" s="20"/>
      <c r="I309" s="17"/>
      <c r="J309" s="21"/>
      <c r="K309" s="20"/>
      <c r="L309" s="17"/>
      <c r="M309" s="20"/>
      <c r="N309" s="20"/>
      <c r="O309" s="17"/>
      <c r="P309" s="22" t="str">
        <f aca="false">IF(C309="","",IF(AND(M309="Sim",N309=""),"Agarrada sem motivo declarado",IF(AND(H309="Sim",I309=""),"Traciona hoje sem próximo passo",IF(AND(O309&lt;&gt;"",O309&gt;=14),"Parada há 14 dias ou mais",IF(AND(M309="Sim",O309&lt;&gt;"",O309&gt;=7),"Agarrada há 7 dias, escalar",IF(AND(I309&lt;&gt;"",J309=""),"Próximo passo sem data",""))))))</f>
        <v/>
      </c>
    </row>
    <row r="310" customFormat="false" ht="15" hidden="false" customHeight="false" outlineLevel="0" collapsed="false">
      <c r="A310" s="21"/>
      <c r="B310" s="17"/>
      <c r="C310" s="17"/>
      <c r="D310" s="19"/>
      <c r="E310" s="20"/>
      <c r="F310" s="20"/>
      <c r="G310" s="20"/>
      <c r="H310" s="20"/>
      <c r="I310" s="17"/>
      <c r="J310" s="21"/>
      <c r="K310" s="20"/>
      <c r="L310" s="17"/>
      <c r="M310" s="20"/>
      <c r="N310" s="20"/>
      <c r="O310" s="17"/>
      <c r="P310" s="22" t="str">
        <f aca="false">IF(C310="","",IF(AND(M310="Sim",N310=""),"Agarrada sem motivo declarado",IF(AND(H310="Sim",I310=""),"Traciona hoje sem próximo passo",IF(AND(O310&lt;&gt;"",O310&gt;=14),"Parada há 14 dias ou mais",IF(AND(M310="Sim",O310&lt;&gt;"",O310&gt;=7),"Agarrada há 7 dias, escalar",IF(AND(I310&lt;&gt;"",J310=""),"Próximo passo sem data",""))))))</f>
        <v/>
      </c>
    </row>
    <row r="311" customFormat="false" ht="15" hidden="false" customHeight="false" outlineLevel="0" collapsed="false">
      <c r="A311" s="21"/>
      <c r="B311" s="17"/>
      <c r="C311" s="17"/>
      <c r="D311" s="19"/>
      <c r="E311" s="20"/>
      <c r="F311" s="20"/>
      <c r="G311" s="20"/>
      <c r="H311" s="20"/>
      <c r="I311" s="17"/>
      <c r="J311" s="21"/>
      <c r="K311" s="20"/>
      <c r="L311" s="17"/>
      <c r="M311" s="20"/>
      <c r="N311" s="20"/>
      <c r="O311" s="17"/>
      <c r="P311" s="22" t="str">
        <f aca="false">IF(C311="","",IF(AND(M311="Sim",N311=""),"Agarrada sem motivo declarado",IF(AND(H311="Sim",I311=""),"Traciona hoje sem próximo passo",IF(AND(O311&lt;&gt;"",O311&gt;=14),"Parada há 14 dias ou mais",IF(AND(M311="Sim",O311&lt;&gt;"",O311&gt;=7),"Agarrada há 7 dias, escalar",IF(AND(I311&lt;&gt;"",J311=""),"Próximo passo sem data",""))))))</f>
        <v/>
      </c>
    </row>
    <row r="312" customFormat="false" ht="15" hidden="false" customHeight="false" outlineLevel="0" collapsed="false">
      <c r="A312" s="21"/>
      <c r="B312" s="17"/>
      <c r="C312" s="17"/>
      <c r="D312" s="19"/>
      <c r="E312" s="20"/>
      <c r="F312" s="20"/>
      <c r="G312" s="20"/>
      <c r="H312" s="20"/>
      <c r="I312" s="17"/>
      <c r="J312" s="21"/>
      <c r="K312" s="20"/>
      <c r="L312" s="17"/>
      <c r="M312" s="20"/>
      <c r="N312" s="20"/>
      <c r="O312" s="17"/>
      <c r="P312" s="22" t="str">
        <f aca="false">IF(C312="","",IF(AND(M312="Sim",N312=""),"Agarrada sem motivo declarado",IF(AND(H312="Sim",I312=""),"Traciona hoje sem próximo passo",IF(AND(O312&lt;&gt;"",O312&gt;=14),"Parada há 14 dias ou mais",IF(AND(M312="Sim",O312&lt;&gt;"",O312&gt;=7),"Agarrada há 7 dias, escalar",IF(AND(I312&lt;&gt;"",J312=""),"Próximo passo sem data",""))))))</f>
        <v/>
      </c>
    </row>
    <row r="313" customFormat="false" ht="15" hidden="false" customHeight="false" outlineLevel="0" collapsed="false">
      <c r="A313" s="21"/>
      <c r="B313" s="17"/>
      <c r="C313" s="17"/>
      <c r="D313" s="19"/>
      <c r="E313" s="20"/>
      <c r="F313" s="20"/>
      <c r="G313" s="20"/>
      <c r="H313" s="20"/>
      <c r="I313" s="17"/>
      <c r="J313" s="21"/>
      <c r="K313" s="20"/>
      <c r="L313" s="17"/>
      <c r="M313" s="20"/>
      <c r="N313" s="20"/>
      <c r="O313" s="17"/>
      <c r="P313" s="22" t="str">
        <f aca="false">IF(C313="","",IF(AND(M313="Sim",N313=""),"Agarrada sem motivo declarado",IF(AND(H313="Sim",I313=""),"Traciona hoje sem próximo passo",IF(AND(O313&lt;&gt;"",O313&gt;=14),"Parada há 14 dias ou mais",IF(AND(M313="Sim",O313&lt;&gt;"",O313&gt;=7),"Agarrada há 7 dias, escalar",IF(AND(I313&lt;&gt;"",J313=""),"Próximo passo sem data",""))))))</f>
        <v/>
      </c>
    </row>
    <row r="314" customFormat="false" ht="15" hidden="false" customHeight="false" outlineLevel="0" collapsed="false">
      <c r="A314" s="21"/>
      <c r="B314" s="17"/>
      <c r="C314" s="17"/>
      <c r="D314" s="19"/>
      <c r="E314" s="20"/>
      <c r="F314" s="20"/>
      <c r="G314" s="20"/>
      <c r="H314" s="20"/>
      <c r="I314" s="17"/>
      <c r="J314" s="21"/>
      <c r="K314" s="20"/>
      <c r="L314" s="17"/>
      <c r="M314" s="20"/>
      <c r="N314" s="20"/>
      <c r="O314" s="17"/>
      <c r="P314" s="22" t="str">
        <f aca="false">IF(C314="","",IF(AND(M314="Sim",N314=""),"Agarrada sem motivo declarado",IF(AND(H314="Sim",I314=""),"Traciona hoje sem próximo passo",IF(AND(O314&lt;&gt;"",O314&gt;=14),"Parada há 14 dias ou mais",IF(AND(M314="Sim",O314&lt;&gt;"",O314&gt;=7),"Agarrada há 7 dias, escalar",IF(AND(I314&lt;&gt;"",J314=""),"Próximo passo sem data",""))))))</f>
        <v/>
      </c>
    </row>
    <row r="315" customFormat="false" ht="15" hidden="false" customHeight="false" outlineLevel="0" collapsed="false">
      <c r="A315" s="21"/>
      <c r="B315" s="17"/>
      <c r="C315" s="17"/>
      <c r="D315" s="19"/>
      <c r="E315" s="20"/>
      <c r="F315" s="20"/>
      <c r="G315" s="20"/>
      <c r="H315" s="20"/>
      <c r="I315" s="17"/>
      <c r="J315" s="21"/>
      <c r="K315" s="20"/>
      <c r="L315" s="17"/>
      <c r="M315" s="20"/>
      <c r="N315" s="20"/>
      <c r="O315" s="17"/>
      <c r="P315" s="22" t="str">
        <f aca="false">IF(C315="","",IF(AND(M315="Sim",N315=""),"Agarrada sem motivo declarado",IF(AND(H315="Sim",I315=""),"Traciona hoje sem próximo passo",IF(AND(O315&lt;&gt;"",O315&gt;=14),"Parada há 14 dias ou mais",IF(AND(M315="Sim",O315&lt;&gt;"",O315&gt;=7),"Agarrada há 7 dias, escalar",IF(AND(I315&lt;&gt;"",J315=""),"Próximo passo sem data",""))))))</f>
        <v/>
      </c>
    </row>
    <row r="316" customFormat="false" ht="15" hidden="false" customHeight="false" outlineLevel="0" collapsed="false">
      <c r="A316" s="21"/>
      <c r="B316" s="17"/>
      <c r="C316" s="17"/>
      <c r="D316" s="19"/>
      <c r="E316" s="20"/>
      <c r="F316" s="20"/>
      <c r="G316" s="20"/>
      <c r="H316" s="20"/>
      <c r="I316" s="17"/>
      <c r="J316" s="21"/>
      <c r="K316" s="20"/>
      <c r="L316" s="17"/>
      <c r="M316" s="20"/>
      <c r="N316" s="20"/>
      <c r="O316" s="17"/>
      <c r="P316" s="22" t="str">
        <f aca="false">IF(C316="","",IF(AND(M316="Sim",N316=""),"Agarrada sem motivo declarado",IF(AND(H316="Sim",I316=""),"Traciona hoje sem próximo passo",IF(AND(O316&lt;&gt;"",O316&gt;=14),"Parada há 14 dias ou mais",IF(AND(M316="Sim",O316&lt;&gt;"",O316&gt;=7),"Agarrada há 7 dias, escalar",IF(AND(I316&lt;&gt;"",J316=""),"Próximo passo sem data",""))))))</f>
        <v/>
      </c>
    </row>
    <row r="317" customFormat="false" ht="15" hidden="false" customHeight="false" outlineLevel="0" collapsed="false">
      <c r="A317" s="21"/>
      <c r="B317" s="17"/>
      <c r="C317" s="17"/>
      <c r="D317" s="19"/>
      <c r="E317" s="20"/>
      <c r="F317" s="20"/>
      <c r="G317" s="20"/>
      <c r="H317" s="20"/>
      <c r="I317" s="17"/>
      <c r="J317" s="21"/>
      <c r="K317" s="20"/>
      <c r="L317" s="17"/>
      <c r="M317" s="20"/>
      <c r="N317" s="20"/>
      <c r="O317" s="17"/>
      <c r="P317" s="22" t="str">
        <f aca="false">IF(C317="","",IF(AND(M317="Sim",N317=""),"Agarrada sem motivo declarado",IF(AND(H317="Sim",I317=""),"Traciona hoje sem próximo passo",IF(AND(O317&lt;&gt;"",O317&gt;=14),"Parada há 14 dias ou mais",IF(AND(M317="Sim",O317&lt;&gt;"",O317&gt;=7),"Agarrada há 7 dias, escalar",IF(AND(I317&lt;&gt;"",J317=""),"Próximo passo sem data",""))))))</f>
        <v/>
      </c>
    </row>
    <row r="318" customFormat="false" ht="15" hidden="false" customHeight="false" outlineLevel="0" collapsed="false">
      <c r="A318" s="21"/>
      <c r="B318" s="17"/>
      <c r="C318" s="17"/>
      <c r="D318" s="19"/>
      <c r="E318" s="20"/>
      <c r="F318" s="20"/>
      <c r="G318" s="20"/>
      <c r="H318" s="20"/>
      <c r="I318" s="17"/>
      <c r="J318" s="21"/>
      <c r="K318" s="20"/>
      <c r="L318" s="17"/>
      <c r="M318" s="20"/>
      <c r="N318" s="20"/>
      <c r="O318" s="17"/>
      <c r="P318" s="22" t="str">
        <f aca="false">IF(C318="","",IF(AND(M318="Sim",N318=""),"Agarrada sem motivo declarado",IF(AND(H318="Sim",I318=""),"Traciona hoje sem próximo passo",IF(AND(O318&lt;&gt;"",O318&gt;=14),"Parada há 14 dias ou mais",IF(AND(M318="Sim",O318&lt;&gt;"",O318&gt;=7),"Agarrada há 7 dias, escalar",IF(AND(I318&lt;&gt;"",J318=""),"Próximo passo sem data",""))))))</f>
        <v/>
      </c>
    </row>
    <row r="319" customFormat="false" ht="15" hidden="false" customHeight="false" outlineLevel="0" collapsed="false">
      <c r="A319" s="21"/>
      <c r="B319" s="17"/>
      <c r="C319" s="17"/>
      <c r="D319" s="19"/>
      <c r="E319" s="20"/>
      <c r="F319" s="20"/>
      <c r="G319" s="20"/>
      <c r="H319" s="20"/>
      <c r="I319" s="17"/>
      <c r="J319" s="21"/>
      <c r="K319" s="20"/>
      <c r="L319" s="17"/>
      <c r="M319" s="20"/>
      <c r="N319" s="20"/>
      <c r="O319" s="17"/>
      <c r="P319" s="22" t="str">
        <f aca="false">IF(C319="","",IF(AND(M319="Sim",N319=""),"Agarrada sem motivo declarado",IF(AND(H319="Sim",I319=""),"Traciona hoje sem próximo passo",IF(AND(O319&lt;&gt;"",O319&gt;=14),"Parada há 14 dias ou mais",IF(AND(M319="Sim",O319&lt;&gt;"",O319&gt;=7),"Agarrada há 7 dias, escalar",IF(AND(I319&lt;&gt;"",J319=""),"Próximo passo sem data",""))))))</f>
        <v/>
      </c>
    </row>
    <row r="320" customFormat="false" ht="15" hidden="false" customHeight="false" outlineLevel="0" collapsed="false">
      <c r="A320" s="21"/>
      <c r="B320" s="17"/>
      <c r="C320" s="17"/>
      <c r="D320" s="19"/>
      <c r="E320" s="20"/>
      <c r="F320" s="20"/>
      <c r="G320" s="20"/>
      <c r="H320" s="20"/>
      <c r="I320" s="17"/>
      <c r="J320" s="21"/>
      <c r="K320" s="20"/>
      <c r="L320" s="17"/>
      <c r="M320" s="20"/>
      <c r="N320" s="20"/>
      <c r="O320" s="17"/>
      <c r="P320" s="22" t="str">
        <f aca="false">IF(C320="","",IF(AND(M320="Sim",N320=""),"Agarrada sem motivo declarado",IF(AND(H320="Sim",I320=""),"Traciona hoje sem próximo passo",IF(AND(O320&lt;&gt;"",O320&gt;=14),"Parada há 14 dias ou mais",IF(AND(M320="Sim",O320&lt;&gt;"",O320&gt;=7),"Agarrada há 7 dias, escalar",IF(AND(I320&lt;&gt;"",J320=""),"Próximo passo sem data",""))))))</f>
        <v/>
      </c>
    </row>
    <row r="321" customFormat="false" ht="15" hidden="false" customHeight="false" outlineLevel="0" collapsed="false">
      <c r="A321" s="21"/>
      <c r="B321" s="17"/>
      <c r="C321" s="17"/>
      <c r="D321" s="19"/>
      <c r="E321" s="20"/>
      <c r="F321" s="20"/>
      <c r="G321" s="20"/>
      <c r="H321" s="20"/>
      <c r="I321" s="17"/>
      <c r="J321" s="21"/>
      <c r="K321" s="20"/>
      <c r="L321" s="17"/>
      <c r="M321" s="20"/>
      <c r="N321" s="20"/>
      <c r="O321" s="17"/>
      <c r="P321" s="22" t="str">
        <f aca="false">IF(C321="","",IF(AND(M321="Sim",N321=""),"Agarrada sem motivo declarado",IF(AND(H321="Sim",I321=""),"Traciona hoje sem próximo passo",IF(AND(O321&lt;&gt;"",O321&gt;=14),"Parada há 14 dias ou mais",IF(AND(M321="Sim",O321&lt;&gt;"",O321&gt;=7),"Agarrada há 7 dias, escalar",IF(AND(I321&lt;&gt;"",J321=""),"Próximo passo sem data",""))))))</f>
        <v/>
      </c>
    </row>
    <row r="322" customFormat="false" ht="15" hidden="false" customHeight="false" outlineLevel="0" collapsed="false">
      <c r="A322" s="21"/>
      <c r="B322" s="17"/>
      <c r="C322" s="17"/>
      <c r="D322" s="19"/>
      <c r="E322" s="20"/>
      <c r="F322" s="20"/>
      <c r="G322" s="20"/>
      <c r="H322" s="20"/>
      <c r="I322" s="17"/>
      <c r="J322" s="21"/>
      <c r="K322" s="20"/>
      <c r="L322" s="17"/>
      <c r="M322" s="20"/>
      <c r="N322" s="20"/>
      <c r="O322" s="17"/>
      <c r="P322" s="22" t="str">
        <f aca="false">IF(C322="","",IF(AND(M322="Sim",N322=""),"Agarrada sem motivo declarado",IF(AND(H322="Sim",I322=""),"Traciona hoje sem próximo passo",IF(AND(O322&lt;&gt;"",O322&gt;=14),"Parada há 14 dias ou mais",IF(AND(M322="Sim",O322&lt;&gt;"",O322&gt;=7),"Agarrada há 7 dias, escalar",IF(AND(I322&lt;&gt;"",J322=""),"Próximo passo sem data",""))))))</f>
        <v/>
      </c>
    </row>
    <row r="323" customFormat="false" ht="15" hidden="false" customHeight="false" outlineLevel="0" collapsed="false">
      <c r="A323" s="21"/>
      <c r="B323" s="17"/>
      <c r="C323" s="17"/>
      <c r="D323" s="19"/>
      <c r="E323" s="20"/>
      <c r="F323" s="20"/>
      <c r="G323" s="20"/>
      <c r="H323" s="20"/>
      <c r="I323" s="17"/>
      <c r="J323" s="21"/>
      <c r="K323" s="20"/>
      <c r="L323" s="17"/>
      <c r="M323" s="20"/>
      <c r="N323" s="20"/>
      <c r="O323" s="17"/>
      <c r="P323" s="22" t="str">
        <f aca="false">IF(C323="","",IF(AND(M323="Sim",N323=""),"Agarrada sem motivo declarado",IF(AND(H323="Sim",I323=""),"Traciona hoje sem próximo passo",IF(AND(O323&lt;&gt;"",O323&gt;=14),"Parada há 14 dias ou mais",IF(AND(M323="Sim",O323&lt;&gt;"",O323&gt;=7),"Agarrada há 7 dias, escalar",IF(AND(I323&lt;&gt;"",J323=""),"Próximo passo sem data",""))))))</f>
        <v/>
      </c>
    </row>
    <row r="324" customFormat="false" ht="15" hidden="false" customHeight="false" outlineLevel="0" collapsed="false">
      <c r="A324" s="21"/>
      <c r="B324" s="17"/>
      <c r="C324" s="17"/>
      <c r="D324" s="19"/>
      <c r="E324" s="20"/>
      <c r="F324" s="20"/>
      <c r="G324" s="20"/>
      <c r="H324" s="20"/>
      <c r="I324" s="17"/>
      <c r="J324" s="21"/>
      <c r="K324" s="20"/>
      <c r="L324" s="17"/>
      <c r="M324" s="20"/>
      <c r="N324" s="20"/>
      <c r="O324" s="17"/>
      <c r="P324" s="22" t="str">
        <f aca="false">IF(C324="","",IF(AND(M324="Sim",N324=""),"Agarrada sem motivo declarado",IF(AND(H324="Sim",I324=""),"Traciona hoje sem próximo passo",IF(AND(O324&lt;&gt;"",O324&gt;=14),"Parada há 14 dias ou mais",IF(AND(M324="Sim",O324&lt;&gt;"",O324&gt;=7),"Agarrada há 7 dias, escalar",IF(AND(I324&lt;&gt;"",J324=""),"Próximo passo sem data",""))))))</f>
        <v/>
      </c>
    </row>
    <row r="325" customFormat="false" ht="15" hidden="false" customHeight="false" outlineLevel="0" collapsed="false">
      <c r="A325" s="21"/>
      <c r="B325" s="17"/>
      <c r="C325" s="17"/>
      <c r="D325" s="19"/>
      <c r="E325" s="20"/>
      <c r="F325" s="20"/>
      <c r="G325" s="20"/>
      <c r="H325" s="20"/>
      <c r="I325" s="17"/>
      <c r="J325" s="21"/>
      <c r="K325" s="20"/>
      <c r="L325" s="17"/>
      <c r="M325" s="20"/>
      <c r="N325" s="20"/>
      <c r="O325" s="17"/>
      <c r="P325" s="22" t="str">
        <f aca="false">IF(C325="","",IF(AND(M325="Sim",N325=""),"Agarrada sem motivo declarado",IF(AND(H325="Sim",I325=""),"Traciona hoje sem próximo passo",IF(AND(O325&lt;&gt;"",O325&gt;=14),"Parada há 14 dias ou mais",IF(AND(M325="Sim",O325&lt;&gt;"",O325&gt;=7),"Agarrada há 7 dias, escalar",IF(AND(I325&lt;&gt;"",J325=""),"Próximo passo sem data",""))))))</f>
        <v/>
      </c>
    </row>
    <row r="326" customFormat="false" ht="15" hidden="false" customHeight="false" outlineLevel="0" collapsed="false">
      <c r="A326" s="21"/>
      <c r="B326" s="17"/>
      <c r="C326" s="17"/>
      <c r="D326" s="19"/>
      <c r="E326" s="20"/>
      <c r="F326" s="20"/>
      <c r="G326" s="20"/>
      <c r="H326" s="20"/>
      <c r="I326" s="17"/>
      <c r="J326" s="21"/>
      <c r="K326" s="20"/>
      <c r="L326" s="17"/>
      <c r="M326" s="20"/>
      <c r="N326" s="20"/>
      <c r="O326" s="17"/>
      <c r="P326" s="22" t="str">
        <f aca="false">IF(C326="","",IF(AND(M326="Sim",N326=""),"Agarrada sem motivo declarado",IF(AND(H326="Sim",I326=""),"Traciona hoje sem próximo passo",IF(AND(O326&lt;&gt;"",O326&gt;=14),"Parada há 14 dias ou mais",IF(AND(M326="Sim",O326&lt;&gt;"",O326&gt;=7),"Agarrada há 7 dias, escalar",IF(AND(I326&lt;&gt;"",J326=""),"Próximo passo sem data",""))))))</f>
        <v/>
      </c>
    </row>
    <row r="327" customFormat="false" ht="15" hidden="false" customHeight="false" outlineLevel="0" collapsed="false">
      <c r="A327" s="21"/>
      <c r="B327" s="17"/>
      <c r="C327" s="17"/>
      <c r="D327" s="19"/>
      <c r="E327" s="20"/>
      <c r="F327" s="20"/>
      <c r="G327" s="20"/>
      <c r="H327" s="20"/>
      <c r="I327" s="17"/>
      <c r="J327" s="21"/>
      <c r="K327" s="20"/>
      <c r="L327" s="17"/>
      <c r="M327" s="20"/>
      <c r="N327" s="20"/>
      <c r="O327" s="17"/>
      <c r="P327" s="22" t="str">
        <f aca="false">IF(C327="","",IF(AND(M327="Sim",N327=""),"Agarrada sem motivo declarado",IF(AND(H327="Sim",I327=""),"Traciona hoje sem próximo passo",IF(AND(O327&lt;&gt;"",O327&gt;=14),"Parada há 14 dias ou mais",IF(AND(M327="Sim",O327&lt;&gt;"",O327&gt;=7),"Agarrada há 7 dias, escalar",IF(AND(I327&lt;&gt;"",J327=""),"Próximo passo sem data",""))))))</f>
        <v/>
      </c>
    </row>
    <row r="328" customFormat="false" ht="15" hidden="false" customHeight="false" outlineLevel="0" collapsed="false">
      <c r="A328" s="21"/>
      <c r="B328" s="17"/>
      <c r="C328" s="17"/>
      <c r="D328" s="19"/>
      <c r="E328" s="20"/>
      <c r="F328" s="20"/>
      <c r="G328" s="20"/>
      <c r="H328" s="20"/>
      <c r="I328" s="17"/>
      <c r="J328" s="21"/>
      <c r="K328" s="20"/>
      <c r="L328" s="17"/>
      <c r="M328" s="20"/>
      <c r="N328" s="20"/>
      <c r="O328" s="17"/>
      <c r="P328" s="22" t="str">
        <f aca="false">IF(C328="","",IF(AND(M328="Sim",N328=""),"Agarrada sem motivo declarado",IF(AND(H328="Sim",I328=""),"Traciona hoje sem próximo passo",IF(AND(O328&lt;&gt;"",O328&gt;=14),"Parada há 14 dias ou mais",IF(AND(M328="Sim",O328&lt;&gt;"",O328&gt;=7),"Agarrada há 7 dias, escalar",IF(AND(I328&lt;&gt;"",J328=""),"Próximo passo sem data",""))))))</f>
        <v/>
      </c>
    </row>
    <row r="329" customFormat="false" ht="15" hidden="false" customHeight="false" outlineLevel="0" collapsed="false">
      <c r="A329" s="21"/>
      <c r="B329" s="17"/>
      <c r="C329" s="17"/>
      <c r="D329" s="19"/>
      <c r="E329" s="20"/>
      <c r="F329" s="20"/>
      <c r="G329" s="20"/>
      <c r="H329" s="20"/>
      <c r="I329" s="17"/>
      <c r="J329" s="21"/>
      <c r="K329" s="20"/>
      <c r="L329" s="17"/>
      <c r="M329" s="20"/>
      <c r="N329" s="20"/>
      <c r="O329" s="17"/>
      <c r="P329" s="22" t="str">
        <f aca="false">IF(C329="","",IF(AND(M329="Sim",N329=""),"Agarrada sem motivo declarado",IF(AND(H329="Sim",I329=""),"Traciona hoje sem próximo passo",IF(AND(O329&lt;&gt;"",O329&gt;=14),"Parada há 14 dias ou mais",IF(AND(M329="Sim",O329&lt;&gt;"",O329&gt;=7),"Agarrada há 7 dias, escalar",IF(AND(I329&lt;&gt;"",J329=""),"Próximo passo sem data",""))))))</f>
        <v/>
      </c>
    </row>
    <row r="330" customFormat="false" ht="15" hidden="false" customHeight="false" outlineLevel="0" collapsed="false">
      <c r="A330" s="21"/>
      <c r="B330" s="17"/>
      <c r="C330" s="17"/>
      <c r="D330" s="19"/>
      <c r="E330" s="20"/>
      <c r="F330" s="20"/>
      <c r="G330" s="20"/>
      <c r="H330" s="20"/>
      <c r="I330" s="17"/>
      <c r="J330" s="21"/>
      <c r="K330" s="20"/>
      <c r="L330" s="17"/>
      <c r="M330" s="20"/>
      <c r="N330" s="20"/>
      <c r="O330" s="17"/>
      <c r="P330" s="22" t="str">
        <f aca="false">IF(C330="","",IF(AND(M330="Sim",N330=""),"Agarrada sem motivo declarado",IF(AND(H330="Sim",I330=""),"Traciona hoje sem próximo passo",IF(AND(O330&lt;&gt;"",O330&gt;=14),"Parada há 14 dias ou mais",IF(AND(M330="Sim",O330&lt;&gt;"",O330&gt;=7),"Agarrada há 7 dias, escalar",IF(AND(I330&lt;&gt;"",J330=""),"Próximo passo sem data",""))))))</f>
        <v/>
      </c>
    </row>
    <row r="331" customFormat="false" ht="15" hidden="false" customHeight="false" outlineLevel="0" collapsed="false">
      <c r="A331" s="21"/>
      <c r="B331" s="17"/>
      <c r="C331" s="17"/>
      <c r="D331" s="19"/>
      <c r="E331" s="20"/>
      <c r="F331" s="20"/>
      <c r="G331" s="20"/>
      <c r="H331" s="20"/>
      <c r="I331" s="17"/>
      <c r="J331" s="21"/>
      <c r="K331" s="20"/>
      <c r="L331" s="17"/>
      <c r="M331" s="20"/>
      <c r="N331" s="20"/>
      <c r="O331" s="17"/>
      <c r="P331" s="22" t="str">
        <f aca="false">IF(C331="","",IF(AND(M331="Sim",N331=""),"Agarrada sem motivo declarado",IF(AND(H331="Sim",I331=""),"Traciona hoje sem próximo passo",IF(AND(O331&lt;&gt;"",O331&gt;=14),"Parada há 14 dias ou mais",IF(AND(M331="Sim",O331&lt;&gt;"",O331&gt;=7),"Agarrada há 7 dias, escalar",IF(AND(I331&lt;&gt;"",J331=""),"Próximo passo sem data",""))))))</f>
        <v/>
      </c>
    </row>
    <row r="332" customFormat="false" ht="15" hidden="false" customHeight="false" outlineLevel="0" collapsed="false">
      <c r="A332" s="21"/>
      <c r="B332" s="17"/>
      <c r="C332" s="17"/>
      <c r="D332" s="19"/>
      <c r="E332" s="20"/>
      <c r="F332" s="20"/>
      <c r="G332" s="20"/>
      <c r="H332" s="20"/>
      <c r="I332" s="17"/>
      <c r="J332" s="21"/>
      <c r="K332" s="20"/>
      <c r="L332" s="17"/>
      <c r="M332" s="20"/>
      <c r="N332" s="20"/>
      <c r="O332" s="17"/>
      <c r="P332" s="22" t="str">
        <f aca="false">IF(C332="","",IF(AND(M332="Sim",N332=""),"Agarrada sem motivo declarado",IF(AND(H332="Sim",I332=""),"Traciona hoje sem próximo passo",IF(AND(O332&lt;&gt;"",O332&gt;=14),"Parada há 14 dias ou mais",IF(AND(M332="Sim",O332&lt;&gt;"",O332&gt;=7),"Agarrada há 7 dias, escalar",IF(AND(I332&lt;&gt;"",J332=""),"Próximo passo sem data",""))))))</f>
        <v/>
      </c>
    </row>
    <row r="333" customFormat="false" ht="15" hidden="false" customHeight="false" outlineLevel="0" collapsed="false">
      <c r="A333" s="21"/>
      <c r="B333" s="17"/>
      <c r="C333" s="17"/>
      <c r="D333" s="19"/>
      <c r="E333" s="20"/>
      <c r="F333" s="20"/>
      <c r="G333" s="20"/>
      <c r="H333" s="20"/>
      <c r="I333" s="17"/>
      <c r="J333" s="21"/>
      <c r="K333" s="20"/>
      <c r="L333" s="17"/>
      <c r="M333" s="20"/>
      <c r="N333" s="20"/>
      <c r="O333" s="17"/>
      <c r="P333" s="22" t="str">
        <f aca="false">IF(C333="","",IF(AND(M333="Sim",N333=""),"Agarrada sem motivo declarado",IF(AND(H333="Sim",I333=""),"Traciona hoje sem próximo passo",IF(AND(O333&lt;&gt;"",O333&gt;=14),"Parada há 14 dias ou mais",IF(AND(M333="Sim",O333&lt;&gt;"",O333&gt;=7),"Agarrada há 7 dias, escalar",IF(AND(I333&lt;&gt;"",J333=""),"Próximo passo sem data",""))))))</f>
        <v/>
      </c>
    </row>
    <row r="334" customFormat="false" ht="15" hidden="false" customHeight="false" outlineLevel="0" collapsed="false">
      <c r="A334" s="21"/>
      <c r="B334" s="17"/>
      <c r="C334" s="17"/>
      <c r="D334" s="19"/>
      <c r="E334" s="20"/>
      <c r="F334" s="20"/>
      <c r="G334" s="20"/>
      <c r="H334" s="20"/>
      <c r="I334" s="17"/>
      <c r="J334" s="21"/>
      <c r="K334" s="20"/>
      <c r="L334" s="17"/>
      <c r="M334" s="20"/>
      <c r="N334" s="20"/>
      <c r="O334" s="17"/>
      <c r="P334" s="22" t="str">
        <f aca="false">IF(C334="","",IF(AND(M334="Sim",N334=""),"Agarrada sem motivo declarado",IF(AND(H334="Sim",I334=""),"Traciona hoje sem próximo passo",IF(AND(O334&lt;&gt;"",O334&gt;=14),"Parada há 14 dias ou mais",IF(AND(M334="Sim",O334&lt;&gt;"",O334&gt;=7),"Agarrada há 7 dias, escalar",IF(AND(I334&lt;&gt;"",J334=""),"Próximo passo sem data",""))))))</f>
        <v/>
      </c>
    </row>
    <row r="335" customFormat="false" ht="15" hidden="false" customHeight="false" outlineLevel="0" collapsed="false">
      <c r="A335" s="21"/>
      <c r="B335" s="17"/>
      <c r="C335" s="17"/>
      <c r="D335" s="19"/>
      <c r="E335" s="20"/>
      <c r="F335" s="20"/>
      <c r="G335" s="20"/>
      <c r="H335" s="20"/>
      <c r="I335" s="17"/>
      <c r="J335" s="21"/>
      <c r="K335" s="20"/>
      <c r="L335" s="17"/>
      <c r="M335" s="20"/>
      <c r="N335" s="20"/>
      <c r="O335" s="17"/>
      <c r="P335" s="22" t="str">
        <f aca="false">IF(C335="","",IF(AND(M335="Sim",N335=""),"Agarrada sem motivo declarado",IF(AND(H335="Sim",I335=""),"Traciona hoje sem próximo passo",IF(AND(O335&lt;&gt;"",O335&gt;=14),"Parada há 14 dias ou mais",IF(AND(M335="Sim",O335&lt;&gt;"",O335&gt;=7),"Agarrada há 7 dias, escalar",IF(AND(I335&lt;&gt;"",J335=""),"Próximo passo sem data",""))))))</f>
        <v/>
      </c>
    </row>
    <row r="336" customFormat="false" ht="15" hidden="false" customHeight="false" outlineLevel="0" collapsed="false">
      <c r="A336" s="21"/>
      <c r="B336" s="17"/>
      <c r="C336" s="17"/>
      <c r="D336" s="19"/>
      <c r="E336" s="20"/>
      <c r="F336" s="20"/>
      <c r="G336" s="20"/>
      <c r="H336" s="20"/>
      <c r="I336" s="17"/>
      <c r="J336" s="21"/>
      <c r="K336" s="20"/>
      <c r="L336" s="17"/>
      <c r="M336" s="20"/>
      <c r="N336" s="20"/>
      <c r="O336" s="17"/>
      <c r="P336" s="22" t="str">
        <f aca="false">IF(C336="","",IF(AND(M336="Sim",N336=""),"Agarrada sem motivo declarado",IF(AND(H336="Sim",I336=""),"Traciona hoje sem próximo passo",IF(AND(O336&lt;&gt;"",O336&gt;=14),"Parada há 14 dias ou mais",IF(AND(M336="Sim",O336&lt;&gt;"",O336&gt;=7),"Agarrada há 7 dias, escalar",IF(AND(I336&lt;&gt;"",J336=""),"Próximo passo sem data",""))))))</f>
        <v/>
      </c>
    </row>
    <row r="337" customFormat="false" ht="15" hidden="false" customHeight="false" outlineLevel="0" collapsed="false">
      <c r="A337" s="21"/>
      <c r="B337" s="17"/>
      <c r="C337" s="17"/>
      <c r="D337" s="19"/>
      <c r="E337" s="20"/>
      <c r="F337" s="20"/>
      <c r="G337" s="20"/>
      <c r="H337" s="20"/>
      <c r="I337" s="17"/>
      <c r="J337" s="21"/>
      <c r="K337" s="20"/>
      <c r="L337" s="17"/>
      <c r="M337" s="20"/>
      <c r="N337" s="20"/>
      <c r="O337" s="17"/>
      <c r="P337" s="22" t="str">
        <f aca="false">IF(C337="","",IF(AND(M337="Sim",N337=""),"Agarrada sem motivo declarado",IF(AND(H337="Sim",I337=""),"Traciona hoje sem próximo passo",IF(AND(O337&lt;&gt;"",O337&gt;=14),"Parada há 14 dias ou mais",IF(AND(M337="Sim",O337&lt;&gt;"",O337&gt;=7),"Agarrada há 7 dias, escalar",IF(AND(I337&lt;&gt;"",J337=""),"Próximo passo sem data",""))))))</f>
        <v/>
      </c>
    </row>
    <row r="338" customFormat="false" ht="15" hidden="false" customHeight="false" outlineLevel="0" collapsed="false">
      <c r="A338" s="21"/>
      <c r="B338" s="17"/>
      <c r="C338" s="17"/>
      <c r="D338" s="19"/>
      <c r="E338" s="20"/>
      <c r="F338" s="20"/>
      <c r="G338" s="20"/>
      <c r="H338" s="20"/>
      <c r="I338" s="17"/>
      <c r="J338" s="21"/>
      <c r="K338" s="20"/>
      <c r="L338" s="17"/>
      <c r="M338" s="20"/>
      <c r="N338" s="20"/>
      <c r="O338" s="17"/>
      <c r="P338" s="22" t="str">
        <f aca="false">IF(C338="","",IF(AND(M338="Sim",N338=""),"Agarrada sem motivo declarado",IF(AND(H338="Sim",I338=""),"Traciona hoje sem próximo passo",IF(AND(O338&lt;&gt;"",O338&gt;=14),"Parada há 14 dias ou mais",IF(AND(M338="Sim",O338&lt;&gt;"",O338&gt;=7),"Agarrada há 7 dias, escalar",IF(AND(I338&lt;&gt;"",J338=""),"Próximo passo sem data",""))))))</f>
        <v/>
      </c>
    </row>
    <row r="339" customFormat="false" ht="15" hidden="false" customHeight="false" outlineLevel="0" collapsed="false">
      <c r="A339" s="21"/>
      <c r="B339" s="17"/>
      <c r="C339" s="17"/>
      <c r="D339" s="19"/>
      <c r="E339" s="20"/>
      <c r="F339" s="20"/>
      <c r="G339" s="20"/>
      <c r="H339" s="20"/>
      <c r="I339" s="17"/>
      <c r="J339" s="21"/>
      <c r="K339" s="20"/>
      <c r="L339" s="17"/>
      <c r="M339" s="20"/>
      <c r="N339" s="20"/>
      <c r="O339" s="17"/>
      <c r="P339" s="22" t="str">
        <f aca="false">IF(C339="","",IF(AND(M339="Sim",N339=""),"Agarrada sem motivo declarado",IF(AND(H339="Sim",I339=""),"Traciona hoje sem próximo passo",IF(AND(O339&lt;&gt;"",O339&gt;=14),"Parada há 14 dias ou mais",IF(AND(M339="Sim",O339&lt;&gt;"",O339&gt;=7),"Agarrada há 7 dias, escalar",IF(AND(I339&lt;&gt;"",J339=""),"Próximo passo sem data",""))))))</f>
        <v/>
      </c>
    </row>
    <row r="340" customFormat="false" ht="15" hidden="false" customHeight="false" outlineLevel="0" collapsed="false">
      <c r="A340" s="21"/>
      <c r="B340" s="17"/>
      <c r="C340" s="17"/>
      <c r="D340" s="19"/>
      <c r="E340" s="20"/>
      <c r="F340" s="20"/>
      <c r="G340" s="20"/>
      <c r="H340" s="20"/>
      <c r="I340" s="17"/>
      <c r="J340" s="21"/>
      <c r="K340" s="20"/>
      <c r="L340" s="17"/>
      <c r="M340" s="20"/>
      <c r="N340" s="20"/>
      <c r="O340" s="17"/>
      <c r="P340" s="22" t="str">
        <f aca="false">IF(C340="","",IF(AND(M340="Sim",N340=""),"Agarrada sem motivo declarado",IF(AND(H340="Sim",I340=""),"Traciona hoje sem próximo passo",IF(AND(O340&lt;&gt;"",O340&gt;=14),"Parada há 14 dias ou mais",IF(AND(M340="Sim",O340&lt;&gt;"",O340&gt;=7),"Agarrada há 7 dias, escalar",IF(AND(I340&lt;&gt;"",J340=""),"Próximo passo sem data",""))))))</f>
        <v/>
      </c>
    </row>
    <row r="341" customFormat="false" ht="15" hidden="false" customHeight="false" outlineLevel="0" collapsed="false">
      <c r="A341" s="21"/>
      <c r="B341" s="17"/>
      <c r="C341" s="17"/>
      <c r="D341" s="19"/>
      <c r="E341" s="20"/>
      <c r="F341" s="20"/>
      <c r="G341" s="20"/>
      <c r="H341" s="20"/>
      <c r="I341" s="17"/>
      <c r="J341" s="21"/>
      <c r="K341" s="20"/>
      <c r="L341" s="17"/>
      <c r="M341" s="20"/>
      <c r="N341" s="20"/>
      <c r="O341" s="17"/>
      <c r="P341" s="22" t="str">
        <f aca="false">IF(C341="","",IF(AND(M341="Sim",N341=""),"Agarrada sem motivo declarado",IF(AND(H341="Sim",I341=""),"Traciona hoje sem próximo passo",IF(AND(O341&lt;&gt;"",O341&gt;=14),"Parada há 14 dias ou mais",IF(AND(M341="Sim",O341&lt;&gt;"",O341&gt;=7),"Agarrada há 7 dias, escalar",IF(AND(I341&lt;&gt;"",J341=""),"Próximo passo sem data",""))))))</f>
        <v/>
      </c>
    </row>
    <row r="342" customFormat="false" ht="15" hidden="false" customHeight="false" outlineLevel="0" collapsed="false">
      <c r="A342" s="21"/>
      <c r="B342" s="17"/>
      <c r="C342" s="17"/>
      <c r="D342" s="19"/>
      <c r="E342" s="20"/>
      <c r="F342" s="20"/>
      <c r="G342" s="20"/>
      <c r="H342" s="20"/>
      <c r="I342" s="17"/>
      <c r="J342" s="21"/>
      <c r="K342" s="20"/>
      <c r="L342" s="17"/>
      <c r="M342" s="20"/>
      <c r="N342" s="20"/>
      <c r="O342" s="17"/>
      <c r="P342" s="22" t="str">
        <f aca="false">IF(C342="","",IF(AND(M342="Sim",N342=""),"Agarrada sem motivo declarado",IF(AND(H342="Sim",I342=""),"Traciona hoje sem próximo passo",IF(AND(O342&lt;&gt;"",O342&gt;=14),"Parada há 14 dias ou mais",IF(AND(M342="Sim",O342&lt;&gt;"",O342&gt;=7),"Agarrada há 7 dias, escalar",IF(AND(I342&lt;&gt;"",J342=""),"Próximo passo sem data",""))))))</f>
        <v/>
      </c>
    </row>
    <row r="343" customFormat="false" ht="15" hidden="false" customHeight="false" outlineLevel="0" collapsed="false">
      <c r="A343" s="21"/>
      <c r="B343" s="17"/>
      <c r="C343" s="17"/>
      <c r="D343" s="19"/>
      <c r="E343" s="20"/>
      <c r="F343" s="20"/>
      <c r="G343" s="20"/>
      <c r="H343" s="20"/>
      <c r="I343" s="17"/>
      <c r="J343" s="21"/>
      <c r="K343" s="20"/>
      <c r="L343" s="17"/>
      <c r="M343" s="20"/>
      <c r="N343" s="20"/>
      <c r="O343" s="17"/>
      <c r="P343" s="22" t="str">
        <f aca="false">IF(C343="","",IF(AND(M343="Sim",N343=""),"Agarrada sem motivo declarado",IF(AND(H343="Sim",I343=""),"Traciona hoje sem próximo passo",IF(AND(O343&lt;&gt;"",O343&gt;=14),"Parada há 14 dias ou mais",IF(AND(M343="Sim",O343&lt;&gt;"",O343&gt;=7),"Agarrada há 7 dias, escalar",IF(AND(I343&lt;&gt;"",J343=""),"Próximo passo sem data",""))))))</f>
        <v/>
      </c>
    </row>
    <row r="344" customFormat="false" ht="15" hidden="false" customHeight="false" outlineLevel="0" collapsed="false">
      <c r="A344" s="21"/>
      <c r="B344" s="17"/>
      <c r="C344" s="17"/>
      <c r="D344" s="19"/>
      <c r="E344" s="20"/>
      <c r="F344" s="20"/>
      <c r="G344" s="20"/>
      <c r="H344" s="20"/>
      <c r="I344" s="17"/>
      <c r="J344" s="21"/>
      <c r="K344" s="20"/>
      <c r="L344" s="17"/>
      <c r="M344" s="20"/>
      <c r="N344" s="20"/>
      <c r="O344" s="17"/>
      <c r="P344" s="22" t="str">
        <f aca="false">IF(C344="","",IF(AND(M344="Sim",N344=""),"Agarrada sem motivo declarado",IF(AND(H344="Sim",I344=""),"Traciona hoje sem próximo passo",IF(AND(O344&lt;&gt;"",O344&gt;=14),"Parada há 14 dias ou mais",IF(AND(M344="Sim",O344&lt;&gt;"",O344&gt;=7),"Agarrada há 7 dias, escalar",IF(AND(I344&lt;&gt;"",J344=""),"Próximo passo sem data",""))))))</f>
        <v/>
      </c>
    </row>
    <row r="345" customFormat="false" ht="15" hidden="false" customHeight="false" outlineLevel="0" collapsed="false">
      <c r="A345" s="21"/>
      <c r="B345" s="17"/>
      <c r="C345" s="17"/>
      <c r="D345" s="19"/>
      <c r="E345" s="20"/>
      <c r="F345" s="20"/>
      <c r="G345" s="20"/>
      <c r="H345" s="20"/>
      <c r="I345" s="17"/>
      <c r="J345" s="21"/>
      <c r="K345" s="20"/>
      <c r="L345" s="17"/>
      <c r="M345" s="20"/>
      <c r="N345" s="20"/>
      <c r="O345" s="17"/>
      <c r="P345" s="22" t="str">
        <f aca="false">IF(C345="","",IF(AND(M345="Sim",N345=""),"Agarrada sem motivo declarado",IF(AND(H345="Sim",I345=""),"Traciona hoje sem próximo passo",IF(AND(O345&lt;&gt;"",O345&gt;=14),"Parada há 14 dias ou mais",IF(AND(M345="Sim",O345&lt;&gt;"",O345&gt;=7),"Agarrada há 7 dias, escalar",IF(AND(I345&lt;&gt;"",J345=""),"Próximo passo sem data",""))))))</f>
        <v/>
      </c>
    </row>
    <row r="346" customFormat="false" ht="15" hidden="false" customHeight="false" outlineLevel="0" collapsed="false">
      <c r="A346" s="21"/>
      <c r="B346" s="17"/>
      <c r="C346" s="17"/>
      <c r="D346" s="19"/>
      <c r="E346" s="20"/>
      <c r="F346" s="20"/>
      <c r="G346" s="20"/>
      <c r="H346" s="20"/>
      <c r="I346" s="17"/>
      <c r="J346" s="21"/>
      <c r="K346" s="20"/>
      <c r="L346" s="17"/>
      <c r="M346" s="20"/>
      <c r="N346" s="20"/>
      <c r="O346" s="17"/>
      <c r="P346" s="22" t="str">
        <f aca="false">IF(C346="","",IF(AND(M346="Sim",N346=""),"Agarrada sem motivo declarado",IF(AND(H346="Sim",I346=""),"Traciona hoje sem próximo passo",IF(AND(O346&lt;&gt;"",O346&gt;=14),"Parada há 14 dias ou mais",IF(AND(M346="Sim",O346&lt;&gt;"",O346&gt;=7),"Agarrada há 7 dias, escalar",IF(AND(I346&lt;&gt;"",J346=""),"Próximo passo sem data",""))))))</f>
        <v/>
      </c>
    </row>
    <row r="347" customFormat="false" ht="15" hidden="false" customHeight="false" outlineLevel="0" collapsed="false">
      <c r="A347" s="21"/>
      <c r="B347" s="17"/>
      <c r="C347" s="17"/>
      <c r="D347" s="19"/>
      <c r="E347" s="20"/>
      <c r="F347" s="20"/>
      <c r="G347" s="20"/>
      <c r="H347" s="20"/>
      <c r="I347" s="17"/>
      <c r="J347" s="21"/>
      <c r="K347" s="20"/>
      <c r="L347" s="17"/>
      <c r="M347" s="20"/>
      <c r="N347" s="20"/>
      <c r="O347" s="17"/>
      <c r="P347" s="22" t="str">
        <f aca="false">IF(C347="","",IF(AND(M347="Sim",N347=""),"Agarrada sem motivo declarado",IF(AND(H347="Sim",I347=""),"Traciona hoje sem próximo passo",IF(AND(O347&lt;&gt;"",O347&gt;=14),"Parada há 14 dias ou mais",IF(AND(M347="Sim",O347&lt;&gt;"",O347&gt;=7),"Agarrada há 7 dias, escalar",IF(AND(I347&lt;&gt;"",J347=""),"Próximo passo sem data",""))))))</f>
        <v/>
      </c>
    </row>
    <row r="348" customFormat="false" ht="15" hidden="false" customHeight="false" outlineLevel="0" collapsed="false">
      <c r="A348" s="21"/>
      <c r="B348" s="17"/>
      <c r="C348" s="17"/>
      <c r="D348" s="19"/>
      <c r="E348" s="20"/>
      <c r="F348" s="20"/>
      <c r="G348" s="20"/>
      <c r="H348" s="20"/>
      <c r="I348" s="17"/>
      <c r="J348" s="21"/>
      <c r="K348" s="20"/>
      <c r="L348" s="17"/>
      <c r="M348" s="20"/>
      <c r="N348" s="20"/>
      <c r="O348" s="17"/>
      <c r="P348" s="22" t="str">
        <f aca="false">IF(C348="","",IF(AND(M348="Sim",N348=""),"Agarrada sem motivo declarado",IF(AND(H348="Sim",I348=""),"Traciona hoje sem próximo passo",IF(AND(O348&lt;&gt;"",O348&gt;=14),"Parada há 14 dias ou mais",IF(AND(M348="Sim",O348&lt;&gt;"",O348&gt;=7),"Agarrada há 7 dias, escalar",IF(AND(I348&lt;&gt;"",J348=""),"Próximo passo sem data",""))))))</f>
        <v/>
      </c>
    </row>
    <row r="349" customFormat="false" ht="15" hidden="false" customHeight="false" outlineLevel="0" collapsed="false">
      <c r="A349" s="21"/>
      <c r="B349" s="17"/>
      <c r="C349" s="17"/>
      <c r="D349" s="19"/>
      <c r="E349" s="20"/>
      <c r="F349" s="20"/>
      <c r="G349" s="20"/>
      <c r="H349" s="20"/>
      <c r="I349" s="17"/>
      <c r="J349" s="21"/>
      <c r="K349" s="20"/>
      <c r="L349" s="17"/>
      <c r="M349" s="20"/>
      <c r="N349" s="20"/>
      <c r="O349" s="17"/>
      <c r="P349" s="22" t="str">
        <f aca="false">IF(C349="","",IF(AND(M349="Sim",N349=""),"Agarrada sem motivo declarado",IF(AND(H349="Sim",I349=""),"Traciona hoje sem próximo passo",IF(AND(O349&lt;&gt;"",O349&gt;=14),"Parada há 14 dias ou mais",IF(AND(M349="Sim",O349&lt;&gt;"",O349&gt;=7),"Agarrada há 7 dias, escalar",IF(AND(I349&lt;&gt;"",J349=""),"Próximo passo sem data",""))))))</f>
        <v/>
      </c>
    </row>
    <row r="350" customFormat="false" ht="15" hidden="false" customHeight="false" outlineLevel="0" collapsed="false">
      <c r="A350" s="21"/>
      <c r="B350" s="17"/>
      <c r="C350" s="17"/>
      <c r="D350" s="19"/>
      <c r="E350" s="20"/>
      <c r="F350" s="20"/>
      <c r="G350" s="20"/>
      <c r="H350" s="20"/>
      <c r="I350" s="17"/>
      <c r="J350" s="21"/>
      <c r="K350" s="20"/>
      <c r="L350" s="17"/>
      <c r="M350" s="20"/>
      <c r="N350" s="20"/>
      <c r="O350" s="17"/>
      <c r="P350" s="22" t="str">
        <f aca="false">IF(C350="","",IF(AND(M350="Sim",N350=""),"Agarrada sem motivo declarado",IF(AND(H350="Sim",I350=""),"Traciona hoje sem próximo passo",IF(AND(O350&lt;&gt;"",O350&gt;=14),"Parada há 14 dias ou mais",IF(AND(M350="Sim",O350&lt;&gt;"",O350&gt;=7),"Agarrada há 7 dias, escalar",IF(AND(I350&lt;&gt;"",J350=""),"Próximo passo sem data",""))))))</f>
        <v/>
      </c>
    </row>
    <row r="351" customFormat="false" ht="15" hidden="false" customHeight="false" outlineLevel="0" collapsed="false">
      <c r="A351" s="21"/>
      <c r="B351" s="17"/>
      <c r="C351" s="17"/>
      <c r="D351" s="19"/>
      <c r="E351" s="20"/>
      <c r="F351" s="20"/>
      <c r="G351" s="20"/>
      <c r="H351" s="20"/>
      <c r="I351" s="17"/>
      <c r="J351" s="21"/>
      <c r="K351" s="20"/>
      <c r="L351" s="17"/>
      <c r="M351" s="20"/>
      <c r="N351" s="20"/>
      <c r="O351" s="17"/>
      <c r="P351" s="22" t="str">
        <f aca="false">IF(C351="","",IF(AND(M351="Sim",N351=""),"Agarrada sem motivo declarado",IF(AND(H351="Sim",I351=""),"Traciona hoje sem próximo passo",IF(AND(O351&lt;&gt;"",O351&gt;=14),"Parada há 14 dias ou mais",IF(AND(M351="Sim",O351&lt;&gt;"",O351&gt;=7),"Agarrada há 7 dias, escalar",IF(AND(I351&lt;&gt;"",J351=""),"Próximo passo sem data",""))))))</f>
        <v/>
      </c>
    </row>
    <row r="352" customFormat="false" ht="15" hidden="false" customHeight="false" outlineLevel="0" collapsed="false">
      <c r="A352" s="21"/>
      <c r="B352" s="17"/>
      <c r="C352" s="17"/>
      <c r="D352" s="19"/>
      <c r="E352" s="20"/>
      <c r="F352" s="20"/>
      <c r="G352" s="20"/>
      <c r="H352" s="20"/>
      <c r="I352" s="17"/>
      <c r="J352" s="21"/>
      <c r="K352" s="20"/>
      <c r="L352" s="17"/>
      <c r="M352" s="20"/>
      <c r="N352" s="20"/>
      <c r="O352" s="17"/>
      <c r="P352" s="22" t="str">
        <f aca="false">IF(C352="","",IF(AND(M352="Sim",N352=""),"Agarrada sem motivo declarado",IF(AND(H352="Sim",I352=""),"Traciona hoje sem próximo passo",IF(AND(O352&lt;&gt;"",O352&gt;=14),"Parada há 14 dias ou mais",IF(AND(M352="Sim",O352&lt;&gt;"",O352&gt;=7),"Agarrada há 7 dias, escalar",IF(AND(I352&lt;&gt;"",J352=""),"Próximo passo sem data",""))))))</f>
        <v/>
      </c>
    </row>
    <row r="353" customFormat="false" ht="15" hidden="false" customHeight="false" outlineLevel="0" collapsed="false">
      <c r="A353" s="21"/>
      <c r="B353" s="17"/>
      <c r="C353" s="17"/>
      <c r="D353" s="19"/>
      <c r="E353" s="20"/>
      <c r="F353" s="20"/>
      <c r="G353" s="20"/>
      <c r="H353" s="20"/>
      <c r="I353" s="17"/>
      <c r="J353" s="21"/>
      <c r="K353" s="20"/>
      <c r="L353" s="17"/>
      <c r="M353" s="20"/>
      <c r="N353" s="20"/>
      <c r="O353" s="17"/>
      <c r="P353" s="22" t="str">
        <f aca="false">IF(C353="","",IF(AND(M353="Sim",N353=""),"Agarrada sem motivo declarado",IF(AND(H353="Sim",I353=""),"Traciona hoje sem próximo passo",IF(AND(O353&lt;&gt;"",O353&gt;=14),"Parada há 14 dias ou mais",IF(AND(M353="Sim",O353&lt;&gt;"",O353&gt;=7),"Agarrada há 7 dias, escalar",IF(AND(I353&lt;&gt;"",J353=""),"Próximo passo sem data",""))))))</f>
        <v/>
      </c>
    </row>
    <row r="354" customFormat="false" ht="15" hidden="false" customHeight="false" outlineLevel="0" collapsed="false">
      <c r="A354" s="21"/>
      <c r="B354" s="17"/>
      <c r="C354" s="17"/>
      <c r="D354" s="19"/>
      <c r="E354" s="20"/>
      <c r="F354" s="20"/>
      <c r="G354" s="20"/>
      <c r="H354" s="20"/>
      <c r="I354" s="17"/>
      <c r="J354" s="21"/>
      <c r="K354" s="20"/>
      <c r="L354" s="17"/>
      <c r="M354" s="20"/>
      <c r="N354" s="20"/>
      <c r="O354" s="17"/>
      <c r="P354" s="22" t="str">
        <f aca="false">IF(C354="","",IF(AND(M354="Sim",N354=""),"Agarrada sem motivo declarado",IF(AND(H354="Sim",I354=""),"Traciona hoje sem próximo passo",IF(AND(O354&lt;&gt;"",O354&gt;=14),"Parada há 14 dias ou mais",IF(AND(M354="Sim",O354&lt;&gt;"",O354&gt;=7),"Agarrada há 7 dias, escalar",IF(AND(I354&lt;&gt;"",J354=""),"Próximo passo sem data",""))))))</f>
        <v/>
      </c>
    </row>
    <row r="355" customFormat="false" ht="15" hidden="false" customHeight="false" outlineLevel="0" collapsed="false">
      <c r="A355" s="21"/>
      <c r="B355" s="17"/>
      <c r="C355" s="17"/>
      <c r="D355" s="19"/>
      <c r="E355" s="20"/>
      <c r="F355" s="20"/>
      <c r="G355" s="20"/>
      <c r="H355" s="20"/>
      <c r="I355" s="17"/>
      <c r="J355" s="21"/>
      <c r="K355" s="20"/>
      <c r="L355" s="17"/>
      <c r="M355" s="20"/>
      <c r="N355" s="20"/>
      <c r="O355" s="17"/>
      <c r="P355" s="22" t="str">
        <f aca="false">IF(C355="","",IF(AND(M355="Sim",N355=""),"Agarrada sem motivo declarado",IF(AND(H355="Sim",I355=""),"Traciona hoje sem próximo passo",IF(AND(O355&lt;&gt;"",O355&gt;=14),"Parada há 14 dias ou mais",IF(AND(M355="Sim",O355&lt;&gt;"",O355&gt;=7),"Agarrada há 7 dias, escalar",IF(AND(I355&lt;&gt;"",J355=""),"Próximo passo sem data",""))))))</f>
        <v/>
      </c>
    </row>
    <row r="356" customFormat="false" ht="15" hidden="false" customHeight="false" outlineLevel="0" collapsed="false">
      <c r="A356" s="21"/>
      <c r="B356" s="17"/>
      <c r="C356" s="17"/>
      <c r="D356" s="19"/>
      <c r="E356" s="20"/>
      <c r="F356" s="20"/>
      <c r="G356" s="20"/>
      <c r="H356" s="20"/>
      <c r="I356" s="17"/>
      <c r="J356" s="21"/>
      <c r="K356" s="20"/>
      <c r="L356" s="17"/>
      <c r="M356" s="20"/>
      <c r="N356" s="20"/>
      <c r="O356" s="17"/>
      <c r="P356" s="22" t="str">
        <f aca="false">IF(C356="","",IF(AND(M356="Sim",N356=""),"Agarrada sem motivo declarado",IF(AND(H356="Sim",I356=""),"Traciona hoje sem próximo passo",IF(AND(O356&lt;&gt;"",O356&gt;=14),"Parada há 14 dias ou mais",IF(AND(M356="Sim",O356&lt;&gt;"",O356&gt;=7),"Agarrada há 7 dias, escalar",IF(AND(I356&lt;&gt;"",J356=""),"Próximo passo sem data",""))))))</f>
        <v/>
      </c>
    </row>
    <row r="357" customFormat="false" ht="15" hidden="false" customHeight="false" outlineLevel="0" collapsed="false">
      <c r="A357" s="21"/>
      <c r="B357" s="17"/>
      <c r="C357" s="17"/>
      <c r="D357" s="19"/>
      <c r="E357" s="20"/>
      <c r="F357" s="20"/>
      <c r="G357" s="20"/>
      <c r="H357" s="20"/>
      <c r="I357" s="17"/>
      <c r="J357" s="21"/>
      <c r="K357" s="20"/>
      <c r="L357" s="17"/>
      <c r="M357" s="20"/>
      <c r="N357" s="20"/>
      <c r="O357" s="17"/>
      <c r="P357" s="22" t="str">
        <f aca="false">IF(C357="","",IF(AND(M357="Sim",N357=""),"Agarrada sem motivo declarado",IF(AND(H357="Sim",I357=""),"Traciona hoje sem próximo passo",IF(AND(O357&lt;&gt;"",O357&gt;=14),"Parada há 14 dias ou mais",IF(AND(M357="Sim",O357&lt;&gt;"",O357&gt;=7),"Agarrada há 7 dias, escalar",IF(AND(I357&lt;&gt;"",J357=""),"Próximo passo sem data",""))))))</f>
        <v/>
      </c>
    </row>
    <row r="358" customFormat="false" ht="15" hidden="false" customHeight="false" outlineLevel="0" collapsed="false">
      <c r="A358" s="21"/>
      <c r="B358" s="17"/>
      <c r="C358" s="17"/>
      <c r="D358" s="19"/>
      <c r="E358" s="20"/>
      <c r="F358" s="20"/>
      <c r="G358" s="20"/>
      <c r="H358" s="20"/>
      <c r="I358" s="17"/>
      <c r="J358" s="21"/>
      <c r="K358" s="20"/>
      <c r="L358" s="17"/>
      <c r="M358" s="20"/>
      <c r="N358" s="20"/>
      <c r="O358" s="17"/>
      <c r="P358" s="22" t="str">
        <f aca="false">IF(C358="","",IF(AND(M358="Sim",N358=""),"Agarrada sem motivo declarado",IF(AND(H358="Sim",I358=""),"Traciona hoje sem próximo passo",IF(AND(O358&lt;&gt;"",O358&gt;=14),"Parada há 14 dias ou mais",IF(AND(M358="Sim",O358&lt;&gt;"",O358&gt;=7),"Agarrada há 7 dias, escalar",IF(AND(I358&lt;&gt;"",J358=""),"Próximo passo sem data",""))))))</f>
        <v/>
      </c>
    </row>
    <row r="359" customFormat="false" ht="15" hidden="false" customHeight="false" outlineLevel="0" collapsed="false">
      <c r="A359" s="21"/>
      <c r="B359" s="17"/>
      <c r="C359" s="17"/>
      <c r="D359" s="19"/>
      <c r="E359" s="20"/>
      <c r="F359" s="20"/>
      <c r="G359" s="20"/>
      <c r="H359" s="20"/>
      <c r="I359" s="17"/>
      <c r="J359" s="21"/>
      <c r="K359" s="20"/>
      <c r="L359" s="17"/>
      <c r="M359" s="20"/>
      <c r="N359" s="20"/>
      <c r="O359" s="17"/>
      <c r="P359" s="22" t="str">
        <f aca="false">IF(C359="","",IF(AND(M359="Sim",N359=""),"Agarrada sem motivo declarado",IF(AND(H359="Sim",I359=""),"Traciona hoje sem próximo passo",IF(AND(O359&lt;&gt;"",O359&gt;=14),"Parada há 14 dias ou mais",IF(AND(M359="Sim",O359&lt;&gt;"",O359&gt;=7),"Agarrada há 7 dias, escalar",IF(AND(I359&lt;&gt;"",J359=""),"Próximo passo sem data",""))))))</f>
        <v/>
      </c>
    </row>
    <row r="360" customFormat="false" ht="15" hidden="false" customHeight="false" outlineLevel="0" collapsed="false">
      <c r="A360" s="21"/>
      <c r="B360" s="17"/>
      <c r="C360" s="17"/>
      <c r="D360" s="19"/>
      <c r="E360" s="20"/>
      <c r="F360" s="20"/>
      <c r="G360" s="20"/>
      <c r="H360" s="20"/>
      <c r="I360" s="17"/>
      <c r="J360" s="21"/>
      <c r="K360" s="20"/>
      <c r="L360" s="17"/>
      <c r="M360" s="20"/>
      <c r="N360" s="20"/>
      <c r="O360" s="17"/>
      <c r="P360" s="22" t="str">
        <f aca="false">IF(C360="","",IF(AND(M360="Sim",N360=""),"Agarrada sem motivo declarado",IF(AND(H360="Sim",I360=""),"Traciona hoje sem próximo passo",IF(AND(O360&lt;&gt;"",O360&gt;=14),"Parada há 14 dias ou mais",IF(AND(M360="Sim",O360&lt;&gt;"",O360&gt;=7),"Agarrada há 7 dias, escalar",IF(AND(I360&lt;&gt;"",J360=""),"Próximo passo sem data",""))))))</f>
        <v/>
      </c>
    </row>
    <row r="361" customFormat="false" ht="15" hidden="false" customHeight="false" outlineLevel="0" collapsed="false">
      <c r="A361" s="21"/>
      <c r="B361" s="17"/>
      <c r="C361" s="17"/>
      <c r="D361" s="19"/>
      <c r="E361" s="20"/>
      <c r="F361" s="20"/>
      <c r="G361" s="20"/>
      <c r="H361" s="20"/>
      <c r="I361" s="17"/>
      <c r="J361" s="21"/>
      <c r="K361" s="20"/>
      <c r="L361" s="17"/>
      <c r="M361" s="20"/>
      <c r="N361" s="20"/>
      <c r="O361" s="17"/>
      <c r="P361" s="22" t="str">
        <f aca="false">IF(C361="","",IF(AND(M361="Sim",N361=""),"Agarrada sem motivo declarado",IF(AND(H361="Sim",I361=""),"Traciona hoje sem próximo passo",IF(AND(O361&lt;&gt;"",O361&gt;=14),"Parada há 14 dias ou mais",IF(AND(M361="Sim",O361&lt;&gt;"",O361&gt;=7),"Agarrada há 7 dias, escalar",IF(AND(I361&lt;&gt;"",J361=""),"Próximo passo sem data",""))))))</f>
        <v/>
      </c>
    </row>
    <row r="362" customFormat="false" ht="15" hidden="false" customHeight="false" outlineLevel="0" collapsed="false">
      <c r="A362" s="21"/>
      <c r="B362" s="17"/>
      <c r="C362" s="17"/>
      <c r="D362" s="19"/>
      <c r="E362" s="20"/>
      <c r="F362" s="20"/>
      <c r="G362" s="20"/>
      <c r="H362" s="20"/>
      <c r="I362" s="17"/>
      <c r="J362" s="21"/>
      <c r="K362" s="20"/>
      <c r="L362" s="17"/>
      <c r="M362" s="20"/>
      <c r="N362" s="20"/>
      <c r="O362" s="17"/>
      <c r="P362" s="22" t="str">
        <f aca="false">IF(C362="","",IF(AND(M362="Sim",N362=""),"Agarrada sem motivo declarado",IF(AND(H362="Sim",I362=""),"Traciona hoje sem próximo passo",IF(AND(O362&lt;&gt;"",O362&gt;=14),"Parada há 14 dias ou mais",IF(AND(M362="Sim",O362&lt;&gt;"",O362&gt;=7),"Agarrada há 7 dias, escalar",IF(AND(I362&lt;&gt;"",J362=""),"Próximo passo sem data",""))))))</f>
        <v/>
      </c>
    </row>
    <row r="363" customFormat="false" ht="15" hidden="false" customHeight="false" outlineLevel="0" collapsed="false">
      <c r="A363" s="21"/>
      <c r="B363" s="17"/>
      <c r="C363" s="17"/>
      <c r="D363" s="19"/>
      <c r="E363" s="20"/>
      <c r="F363" s="20"/>
      <c r="G363" s="20"/>
      <c r="H363" s="20"/>
      <c r="I363" s="17"/>
      <c r="J363" s="21"/>
      <c r="K363" s="20"/>
      <c r="L363" s="17"/>
      <c r="M363" s="20"/>
      <c r="N363" s="20"/>
      <c r="O363" s="17"/>
      <c r="P363" s="22" t="str">
        <f aca="false">IF(C363="","",IF(AND(M363="Sim",N363=""),"Agarrada sem motivo declarado",IF(AND(H363="Sim",I363=""),"Traciona hoje sem próximo passo",IF(AND(O363&lt;&gt;"",O363&gt;=14),"Parada há 14 dias ou mais",IF(AND(M363="Sim",O363&lt;&gt;"",O363&gt;=7),"Agarrada há 7 dias, escalar",IF(AND(I363&lt;&gt;"",J363=""),"Próximo passo sem data",""))))))</f>
        <v/>
      </c>
    </row>
    <row r="364" customFormat="false" ht="15" hidden="false" customHeight="false" outlineLevel="0" collapsed="false">
      <c r="A364" s="21"/>
      <c r="B364" s="17"/>
      <c r="C364" s="17"/>
      <c r="D364" s="19"/>
      <c r="E364" s="20"/>
      <c r="F364" s="20"/>
      <c r="G364" s="20"/>
      <c r="H364" s="20"/>
      <c r="I364" s="17"/>
      <c r="J364" s="21"/>
      <c r="K364" s="20"/>
      <c r="L364" s="17"/>
      <c r="M364" s="20"/>
      <c r="N364" s="20"/>
      <c r="O364" s="17"/>
      <c r="P364" s="22" t="str">
        <f aca="false">IF(C364="","",IF(AND(M364="Sim",N364=""),"Agarrada sem motivo declarado",IF(AND(H364="Sim",I364=""),"Traciona hoje sem próximo passo",IF(AND(O364&lt;&gt;"",O364&gt;=14),"Parada há 14 dias ou mais",IF(AND(M364="Sim",O364&lt;&gt;"",O364&gt;=7),"Agarrada há 7 dias, escalar",IF(AND(I364&lt;&gt;"",J364=""),"Próximo passo sem data",""))))))</f>
        <v/>
      </c>
    </row>
    <row r="365" customFormat="false" ht="15" hidden="false" customHeight="false" outlineLevel="0" collapsed="false">
      <c r="A365" s="21"/>
      <c r="B365" s="17"/>
      <c r="C365" s="17"/>
      <c r="D365" s="19"/>
      <c r="E365" s="20"/>
      <c r="F365" s="20"/>
      <c r="G365" s="20"/>
      <c r="H365" s="20"/>
      <c r="I365" s="17"/>
      <c r="J365" s="21"/>
      <c r="K365" s="20"/>
      <c r="L365" s="17"/>
      <c r="M365" s="20"/>
      <c r="N365" s="20"/>
      <c r="O365" s="17"/>
      <c r="P365" s="22" t="str">
        <f aca="false">IF(C365="","",IF(AND(M365="Sim",N365=""),"Agarrada sem motivo declarado",IF(AND(H365="Sim",I365=""),"Traciona hoje sem próximo passo",IF(AND(O365&lt;&gt;"",O365&gt;=14),"Parada há 14 dias ou mais",IF(AND(M365="Sim",O365&lt;&gt;"",O365&gt;=7),"Agarrada há 7 dias, escalar",IF(AND(I365&lt;&gt;"",J365=""),"Próximo passo sem data",""))))))</f>
        <v/>
      </c>
    </row>
    <row r="366" customFormat="false" ht="15" hidden="false" customHeight="false" outlineLevel="0" collapsed="false">
      <c r="A366" s="21"/>
      <c r="B366" s="17"/>
      <c r="C366" s="17"/>
      <c r="D366" s="19"/>
      <c r="E366" s="20"/>
      <c r="F366" s="20"/>
      <c r="G366" s="20"/>
      <c r="H366" s="20"/>
      <c r="I366" s="17"/>
      <c r="J366" s="21"/>
      <c r="K366" s="20"/>
      <c r="L366" s="17"/>
      <c r="M366" s="20"/>
      <c r="N366" s="20"/>
      <c r="O366" s="17"/>
      <c r="P366" s="22" t="str">
        <f aca="false">IF(C366="","",IF(AND(M366="Sim",N366=""),"Agarrada sem motivo declarado",IF(AND(H366="Sim",I366=""),"Traciona hoje sem próximo passo",IF(AND(O366&lt;&gt;"",O366&gt;=14),"Parada há 14 dias ou mais",IF(AND(M366="Sim",O366&lt;&gt;"",O366&gt;=7),"Agarrada há 7 dias, escalar",IF(AND(I366&lt;&gt;"",J366=""),"Próximo passo sem data",""))))))</f>
        <v/>
      </c>
    </row>
    <row r="367" customFormat="false" ht="15" hidden="false" customHeight="false" outlineLevel="0" collapsed="false">
      <c r="A367" s="21"/>
      <c r="B367" s="17"/>
      <c r="C367" s="17"/>
      <c r="D367" s="19"/>
      <c r="E367" s="20"/>
      <c r="F367" s="20"/>
      <c r="G367" s="20"/>
      <c r="H367" s="20"/>
      <c r="I367" s="17"/>
      <c r="J367" s="21"/>
      <c r="K367" s="20"/>
      <c r="L367" s="17"/>
      <c r="M367" s="20"/>
      <c r="N367" s="20"/>
      <c r="O367" s="17"/>
      <c r="P367" s="22" t="str">
        <f aca="false">IF(C367="","",IF(AND(M367="Sim",N367=""),"Agarrada sem motivo declarado",IF(AND(H367="Sim",I367=""),"Traciona hoje sem próximo passo",IF(AND(O367&lt;&gt;"",O367&gt;=14),"Parada há 14 dias ou mais",IF(AND(M367="Sim",O367&lt;&gt;"",O367&gt;=7),"Agarrada há 7 dias, escalar",IF(AND(I367&lt;&gt;"",J367=""),"Próximo passo sem data",""))))))</f>
        <v/>
      </c>
    </row>
    <row r="368" customFormat="false" ht="15" hidden="false" customHeight="false" outlineLevel="0" collapsed="false">
      <c r="A368" s="21"/>
      <c r="B368" s="17"/>
      <c r="C368" s="17"/>
      <c r="D368" s="19"/>
      <c r="E368" s="20"/>
      <c r="F368" s="20"/>
      <c r="G368" s="20"/>
      <c r="H368" s="20"/>
      <c r="I368" s="17"/>
      <c r="J368" s="21"/>
      <c r="K368" s="20"/>
      <c r="L368" s="17"/>
      <c r="M368" s="20"/>
      <c r="N368" s="20"/>
      <c r="O368" s="17"/>
      <c r="P368" s="22" t="str">
        <f aca="false">IF(C368="","",IF(AND(M368="Sim",N368=""),"Agarrada sem motivo declarado",IF(AND(H368="Sim",I368=""),"Traciona hoje sem próximo passo",IF(AND(O368&lt;&gt;"",O368&gt;=14),"Parada há 14 dias ou mais",IF(AND(M368="Sim",O368&lt;&gt;"",O368&gt;=7),"Agarrada há 7 dias, escalar",IF(AND(I368&lt;&gt;"",J368=""),"Próximo passo sem data",""))))))</f>
        <v/>
      </c>
    </row>
    <row r="369" customFormat="false" ht="15" hidden="false" customHeight="false" outlineLevel="0" collapsed="false">
      <c r="A369" s="21"/>
      <c r="B369" s="17"/>
      <c r="C369" s="17"/>
      <c r="D369" s="19"/>
      <c r="E369" s="20"/>
      <c r="F369" s="20"/>
      <c r="G369" s="20"/>
      <c r="H369" s="20"/>
      <c r="I369" s="17"/>
      <c r="J369" s="21"/>
      <c r="K369" s="20"/>
      <c r="L369" s="17"/>
      <c r="M369" s="20"/>
      <c r="N369" s="20"/>
      <c r="O369" s="17"/>
      <c r="P369" s="22" t="str">
        <f aca="false">IF(C369="","",IF(AND(M369="Sim",N369=""),"Agarrada sem motivo declarado",IF(AND(H369="Sim",I369=""),"Traciona hoje sem próximo passo",IF(AND(O369&lt;&gt;"",O369&gt;=14),"Parada há 14 dias ou mais",IF(AND(M369="Sim",O369&lt;&gt;"",O369&gt;=7),"Agarrada há 7 dias, escalar",IF(AND(I369&lt;&gt;"",J369=""),"Próximo passo sem data",""))))))</f>
        <v/>
      </c>
    </row>
    <row r="370" customFormat="false" ht="15" hidden="false" customHeight="false" outlineLevel="0" collapsed="false">
      <c r="A370" s="21"/>
      <c r="B370" s="17"/>
      <c r="C370" s="17"/>
      <c r="D370" s="19"/>
      <c r="E370" s="20"/>
      <c r="F370" s="20"/>
      <c r="G370" s="20"/>
      <c r="H370" s="20"/>
      <c r="I370" s="17"/>
      <c r="J370" s="21"/>
      <c r="K370" s="20"/>
      <c r="L370" s="17"/>
      <c r="M370" s="20"/>
      <c r="N370" s="20"/>
      <c r="O370" s="17"/>
      <c r="P370" s="22" t="str">
        <f aca="false">IF(C370="","",IF(AND(M370="Sim",N370=""),"Agarrada sem motivo declarado",IF(AND(H370="Sim",I370=""),"Traciona hoje sem próximo passo",IF(AND(O370&lt;&gt;"",O370&gt;=14),"Parada há 14 dias ou mais",IF(AND(M370="Sim",O370&lt;&gt;"",O370&gt;=7),"Agarrada há 7 dias, escalar",IF(AND(I370&lt;&gt;"",J370=""),"Próximo passo sem data",""))))))</f>
        <v/>
      </c>
    </row>
    <row r="371" customFormat="false" ht="15" hidden="false" customHeight="false" outlineLevel="0" collapsed="false">
      <c r="A371" s="21"/>
      <c r="B371" s="17"/>
      <c r="C371" s="17"/>
      <c r="D371" s="19"/>
      <c r="E371" s="20"/>
      <c r="F371" s="20"/>
      <c r="G371" s="20"/>
      <c r="H371" s="20"/>
      <c r="I371" s="17"/>
      <c r="J371" s="21"/>
      <c r="K371" s="20"/>
      <c r="L371" s="17"/>
      <c r="M371" s="20"/>
      <c r="N371" s="20"/>
      <c r="O371" s="17"/>
      <c r="P371" s="22" t="str">
        <f aca="false">IF(C371="","",IF(AND(M371="Sim",N371=""),"Agarrada sem motivo declarado",IF(AND(H371="Sim",I371=""),"Traciona hoje sem próximo passo",IF(AND(O371&lt;&gt;"",O371&gt;=14),"Parada há 14 dias ou mais",IF(AND(M371="Sim",O371&lt;&gt;"",O371&gt;=7),"Agarrada há 7 dias, escalar",IF(AND(I371&lt;&gt;"",J371=""),"Próximo passo sem data",""))))))</f>
        <v/>
      </c>
    </row>
    <row r="372" customFormat="false" ht="15" hidden="false" customHeight="false" outlineLevel="0" collapsed="false">
      <c r="A372" s="21"/>
      <c r="B372" s="17"/>
      <c r="C372" s="17"/>
      <c r="D372" s="19"/>
      <c r="E372" s="20"/>
      <c r="F372" s="20"/>
      <c r="G372" s="20"/>
      <c r="H372" s="20"/>
      <c r="I372" s="17"/>
      <c r="J372" s="21"/>
      <c r="K372" s="20"/>
      <c r="L372" s="17"/>
      <c r="M372" s="20"/>
      <c r="N372" s="20"/>
      <c r="O372" s="17"/>
      <c r="P372" s="22" t="str">
        <f aca="false">IF(C372="","",IF(AND(M372="Sim",N372=""),"Agarrada sem motivo declarado",IF(AND(H372="Sim",I372=""),"Traciona hoje sem próximo passo",IF(AND(O372&lt;&gt;"",O372&gt;=14),"Parada há 14 dias ou mais",IF(AND(M372="Sim",O372&lt;&gt;"",O372&gt;=7),"Agarrada há 7 dias, escalar",IF(AND(I372&lt;&gt;"",J372=""),"Próximo passo sem data",""))))))</f>
        <v/>
      </c>
    </row>
    <row r="373" customFormat="false" ht="15" hidden="false" customHeight="false" outlineLevel="0" collapsed="false">
      <c r="A373" s="21"/>
      <c r="B373" s="17"/>
      <c r="C373" s="17"/>
      <c r="D373" s="19"/>
      <c r="E373" s="20"/>
      <c r="F373" s="20"/>
      <c r="G373" s="20"/>
      <c r="H373" s="20"/>
      <c r="I373" s="17"/>
      <c r="J373" s="21"/>
      <c r="K373" s="20"/>
      <c r="L373" s="17"/>
      <c r="M373" s="20"/>
      <c r="N373" s="20"/>
      <c r="O373" s="17"/>
      <c r="P373" s="22" t="str">
        <f aca="false">IF(C373="","",IF(AND(M373="Sim",N373=""),"Agarrada sem motivo declarado",IF(AND(H373="Sim",I373=""),"Traciona hoje sem próximo passo",IF(AND(O373&lt;&gt;"",O373&gt;=14),"Parada há 14 dias ou mais",IF(AND(M373="Sim",O373&lt;&gt;"",O373&gt;=7),"Agarrada há 7 dias, escalar",IF(AND(I373&lt;&gt;"",J373=""),"Próximo passo sem data",""))))))</f>
        <v/>
      </c>
    </row>
    <row r="374" customFormat="false" ht="15" hidden="false" customHeight="false" outlineLevel="0" collapsed="false">
      <c r="A374" s="21"/>
      <c r="B374" s="17"/>
      <c r="C374" s="17"/>
      <c r="D374" s="19"/>
      <c r="E374" s="20"/>
      <c r="F374" s="20"/>
      <c r="G374" s="20"/>
      <c r="H374" s="20"/>
      <c r="I374" s="17"/>
      <c r="J374" s="21"/>
      <c r="K374" s="20"/>
      <c r="L374" s="17"/>
      <c r="M374" s="20"/>
      <c r="N374" s="20"/>
      <c r="O374" s="17"/>
      <c r="P374" s="22" t="str">
        <f aca="false">IF(C374="","",IF(AND(M374="Sim",N374=""),"Agarrada sem motivo declarado",IF(AND(H374="Sim",I374=""),"Traciona hoje sem próximo passo",IF(AND(O374&lt;&gt;"",O374&gt;=14),"Parada há 14 dias ou mais",IF(AND(M374="Sim",O374&lt;&gt;"",O374&gt;=7),"Agarrada há 7 dias, escalar",IF(AND(I374&lt;&gt;"",J374=""),"Próximo passo sem data",""))))))</f>
        <v/>
      </c>
    </row>
    <row r="375" customFormat="false" ht="15" hidden="false" customHeight="false" outlineLevel="0" collapsed="false">
      <c r="A375" s="21"/>
      <c r="B375" s="17"/>
      <c r="C375" s="17"/>
      <c r="D375" s="19"/>
      <c r="E375" s="20"/>
      <c r="F375" s="20"/>
      <c r="G375" s="20"/>
      <c r="H375" s="20"/>
      <c r="I375" s="17"/>
      <c r="J375" s="21"/>
      <c r="K375" s="20"/>
      <c r="L375" s="17"/>
      <c r="M375" s="20"/>
      <c r="N375" s="20"/>
      <c r="O375" s="17"/>
      <c r="P375" s="22" t="str">
        <f aca="false">IF(C375="","",IF(AND(M375="Sim",N375=""),"Agarrada sem motivo declarado",IF(AND(H375="Sim",I375=""),"Traciona hoje sem próximo passo",IF(AND(O375&lt;&gt;"",O375&gt;=14),"Parada há 14 dias ou mais",IF(AND(M375="Sim",O375&lt;&gt;"",O375&gt;=7),"Agarrada há 7 dias, escalar",IF(AND(I375&lt;&gt;"",J375=""),"Próximo passo sem data",""))))))</f>
        <v/>
      </c>
    </row>
    <row r="376" customFormat="false" ht="15" hidden="false" customHeight="false" outlineLevel="0" collapsed="false">
      <c r="A376" s="21"/>
      <c r="B376" s="17"/>
      <c r="C376" s="17"/>
      <c r="D376" s="19"/>
      <c r="E376" s="20"/>
      <c r="F376" s="20"/>
      <c r="G376" s="20"/>
      <c r="H376" s="20"/>
      <c r="I376" s="17"/>
      <c r="J376" s="21"/>
      <c r="K376" s="20"/>
      <c r="L376" s="17"/>
      <c r="M376" s="20"/>
      <c r="N376" s="20"/>
      <c r="O376" s="17"/>
      <c r="P376" s="22" t="str">
        <f aca="false">IF(C376="","",IF(AND(M376="Sim",N376=""),"Agarrada sem motivo declarado",IF(AND(H376="Sim",I376=""),"Traciona hoje sem próximo passo",IF(AND(O376&lt;&gt;"",O376&gt;=14),"Parada há 14 dias ou mais",IF(AND(M376="Sim",O376&lt;&gt;"",O376&gt;=7),"Agarrada há 7 dias, escalar",IF(AND(I376&lt;&gt;"",J376=""),"Próximo passo sem data",""))))))</f>
        <v/>
      </c>
    </row>
    <row r="377" customFormat="false" ht="15" hidden="false" customHeight="false" outlineLevel="0" collapsed="false">
      <c r="A377" s="21"/>
      <c r="B377" s="17"/>
      <c r="C377" s="17"/>
      <c r="D377" s="19"/>
      <c r="E377" s="20"/>
      <c r="F377" s="20"/>
      <c r="G377" s="20"/>
      <c r="H377" s="20"/>
      <c r="I377" s="17"/>
      <c r="J377" s="21"/>
      <c r="K377" s="20"/>
      <c r="L377" s="17"/>
      <c r="M377" s="20"/>
      <c r="N377" s="20"/>
      <c r="O377" s="17"/>
      <c r="P377" s="22" t="str">
        <f aca="false">IF(C377="","",IF(AND(M377="Sim",N377=""),"Agarrada sem motivo declarado",IF(AND(H377="Sim",I377=""),"Traciona hoje sem próximo passo",IF(AND(O377&lt;&gt;"",O377&gt;=14),"Parada há 14 dias ou mais",IF(AND(M377="Sim",O377&lt;&gt;"",O377&gt;=7),"Agarrada há 7 dias, escalar",IF(AND(I377&lt;&gt;"",J377=""),"Próximo passo sem data",""))))))</f>
        <v/>
      </c>
    </row>
    <row r="378" customFormat="false" ht="15" hidden="false" customHeight="false" outlineLevel="0" collapsed="false">
      <c r="A378" s="21"/>
      <c r="B378" s="17"/>
      <c r="C378" s="17"/>
      <c r="D378" s="19"/>
      <c r="E378" s="20"/>
      <c r="F378" s="20"/>
      <c r="G378" s="20"/>
      <c r="H378" s="20"/>
      <c r="I378" s="17"/>
      <c r="J378" s="21"/>
      <c r="K378" s="20"/>
      <c r="L378" s="17"/>
      <c r="M378" s="20"/>
      <c r="N378" s="20"/>
      <c r="O378" s="17"/>
      <c r="P378" s="22" t="str">
        <f aca="false">IF(C378="","",IF(AND(M378="Sim",N378=""),"Agarrada sem motivo declarado",IF(AND(H378="Sim",I378=""),"Traciona hoje sem próximo passo",IF(AND(O378&lt;&gt;"",O378&gt;=14),"Parada há 14 dias ou mais",IF(AND(M378="Sim",O378&lt;&gt;"",O378&gt;=7),"Agarrada há 7 dias, escalar",IF(AND(I378&lt;&gt;"",J378=""),"Próximo passo sem data",""))))))</f>
        <v/>
      </c>
    </row>
    <row r="379" customFormat="false" ht="15" hidden="false" customHeight="false" outlineLevel="0" collapsed="false">
      <c r="A379" s="21"/>
      <c r="B379" s="17"/>
      <c r="C379" s="17"/>
      <c r="D379" s="19"/>
      <c r="E379" s="20"/>
      <c r="F379" s="20"/>
      <c r="G379" s="20"/>
      <c r="H379" s="20"/>
      <c r="I379" s="17"/>
      <c r="J379" s="21"/>
      <c r="K379" s="20"/>
      <c r="L379" s="17"/>
      <c r="M379" s="20"/>
      <c r="N379" s="20"/>
      <c r="O379" s="17"/>
      <c r="P379" s="22" t="str">
        <f aca="false">IF(C379="","",IF(AND(M379="Sim",N379=""),"Agarrada sem motivo declarado",IF(AND(H379="Sim",I379=""),"Traciona hoje sem próximo passo",IF(AND(O379&lt;&gt;"",O379&gt;=14),"Parada há 14 dias ou mais",IF(AND(M379="Sim",O379&lt;&gt;"",O379&gt;=7),"Agarrada há 7 dias, escalar",IF(AND(I379&lt;&gt;"",J379=""),"Próximo passo sem data",""))))))</f>
        <v/>
      </c>
    </row>
    <row r="380" customFormat="false" ht="15" hidden="false" customHeight="false" outlineLevel="0" collapsed="false">
      <c r="A380" s="21"/>
      <c r="B380" s="17"/>
      <c r="C380" s="17"/>
      <c r="D380" s="19"/>
      <c r="E380" s="20"/>
      <c r="F380" s="20"/>
      <c r="G380" s="20"/>
      <c r="H380" s="20"/>
      <c r="I380" s="17"/>
      <c r="J380" s="21"/>
      <c r="K380" s="20"/>
      <c r="L380" s="17"/>
      <c r="M380" s="20"/>
      <c r="N380" s="20"/>
      <c r="O380" s="17"/>
      <c r="P380" s="22" t="str">
        <f aca="false">IF(C380="","",IF(AND(M380="Sim",N380=""),"Agarrada sem motivo declarado",IF(AND(H380="Sim",I380=""),"Traciona hoje sem próximo passo",IF(AND(O380&lt;&gt;"",O380&gt;=14),"Parada há 14 dias ou mais",IF(AND(M380="Sim",O380&lt;&gt;"",O380&gt;=7),"Agarrada há 7 dias, escalar",IF(AND(I380&lt;&gt;"",J380=""),"Próximo passo sem data",""))))))</f>
        <v/>
      </c>
    </row>
    <row r="381" customFormat="false" ht="15" hidden="false" customHeight="false" outlineLevel="0" collapsed="false">
      <c r="A381" s="21"/>
      <c r="B381" s="17"/>
      <c r="C381" s="17"/>
      <c r="D381" s="19"/>
      <c r="E381" s="20"/>
      <c r="F381" s="20"/>
      <c r="G381" s="20"/>
      <c r="H381" s="20"/>
      <c r="I381" s="17"/>
      <c r="J381" s="21"/>
      <c r="K381" s="20"/>
      <c r="L381" s="17"/>
      <c r="M381" s="20"/>
      <c r="N381" s="20"/>
      <c r="O381" s="17"/>
      <c r="P381" s="22" t="str">
        <f aca="false">IF(C381="","",IF(AND(M381="Sim",N381=""),"Agarrada sem motivo declarado",IF(AND(H381="Sim",I381=""),"Traciona hoje sem próximo passo",IF(AND(O381&lt;&gt;"",O381&gt;=14),"Parada há 14 dias ou mais",IF(AND(M381="Sim",O381&lt;&gt;"",O381&gt;=7),"Agarrada há 7 dias, escalar",IF(AND(I381&lt;&gt;"",J381=""),"Próximo passo sem data",""))))))</f>
        <v/>
      </c>
    </row>
    <row r="382" customFormat="false" ht="15" hidden="false" customHeight="false" outlineLevel="0" collapsed="false">
      <c r="A382" s="21"/>
      <c r="B382" s="17"/>
      <c r="C382" s="17"/>
      <c r="D382" s="19"/>
      <c r="E382" s="20"/>
      <c r="F382" s="20"/>
      <c r="G382" s="20"/>
      <c r="H382" s="20"/>
      <c r="I382" s="17"/>
      <c r="J382" s="21"/>
      <c r="K382" s="20"/>
      <c r="L382" s="17"/>
      <c r="M382" s="20"/>
      <c r="N382" s="20"/>
      <c r="O382" s="17"/>
      <c r="P382" s="22" t="str">
        <f aca="false">IF(C382="","",IF(AND(M382="Sim",N382=""),"Agarrada sem motivo declarado",IF(AND(H382="Sim",I382=""),"Traciona hoje sem próximo passo",IF(AND(O382&lt;&gt;"",O382&gt;=14),"Parada há 14 dias ou mais",IF(AND(M382="Sim",O382&lt;&gt;"",O382&gt;=7),"Agarrada há 7 dias, escalar",IF(AND(I382&lt;&gt;"",J382=""),"Próximo passo sem data",""))))))</f>
        <v/>
      </c>
    </row>
    <row r="383" customFormat="false" ht="15" hidden="false" customHeight="false" outlineLevel="0" collapsed="false">
      <c r="A383" s="21"/>
      <c r="B383" s="17"/>
      <c r="C383" s="17"/>
      <c r="D383" s="19"/>
      <c r="E383" s="20"/>
      <c r="F383" s="20"/>
      <c r="G383" s="20"/>
      <c r="H383" s="20"/>
      <c r="I383" s="17"/>
      <c r="J383" s="21"/>
      <c r="K383" s="20"/>
      <c r="L383" s="17"/>
      <c r="M383" s="20"/>
      <c r="N383" s="20"/>
      <c r="O383" s="17"/>
      <c r="P383" s="22" t="str">
        <f aca="false">IF(C383="","",IF(AND(M383="Sim",N383=""),"Agarrada sem motivo declarado",IF(AND(H383="Sim",I383=""),"Traciona hoje sem próximo passo",IF(AND(O383&lt;&gt;"",O383&gt;=14),"Parada há 14 dias ou mais",IF(AND(M383="Sim",O383&lt;&gt;"",O383&gt;=7),"Agarrada há 7 dias, escalar",IF(AND(I383&lt;&gt;"",J383=""),"Próximo passo sem data",""))))))</f>
        <v/>
      </c>
    </row>
    <row r="384" customFormat="false" ht="15" hidden="false" customHeight="false" outlineLevel="0" collapsed="false">
      <c r="A384" s="21"/>
      <c r="B384" s="17"/>
      <c r="C384" s="17"/>
      <c r="D384" s="19"/>
      <c r="E384" s="20"/>
      <c r="F384" s="20"/>
      <c r="G384" s="20"/>
      <c r="H384" s="20"/>
      <c r="I384" s="17"/>
      <c r="J384" s="21"/>
      <c r="K384" s="20"/>
      <c r="L384" s="17"/>
      <c r="M384" s="20"/>
      <c r="N384" s="20"/>
      <c r="O384" s="17"/>
      <c r="P384" s="22" t="str">
        <f aca="false">IF(C384="","",IF(AND(M384="Sim",N384=""),"Agarrada sem motivo declarado",IF(AND(H384="Sim",I384=""),"Traciona hoje sem próximo passo",IF(AND(O384&lt;&gt;"",O384&gt;=14),"Parada há 14 dias ou mais",IF(AND(M384="Sim",O384&lt;&gt;"",O384&gt;=7),"Agarrada há 7 dias, escalar",IF(AND(I384&lt;&gt;"",J384=""),"Próximo passo sem data",""))))))</f>
        <v/>
      </c>
    </row>
    <row r="385" customFormat="false" ht="15" hidden="false" customHeight="false" outlineLevel="0" collapsed="false">
      <c r="A385" s="21"/>
      <c r="B385" s="17"/>
      <c r="C385" s="17"/>
      <c r="D385" s="19"/>
      <c r="E385" s="20"/>
      <c r="F385" s="20"/>
      <c r="G385" s="20"/>
      <c r="H385" s="20"/>
      <c r="I385" s="17"/>
      <c r="J385" s="21"/>
      <c r="K385" s="20"/>
      <c r="L385" s="17"/>
      <c r="M385" s="20"/>
      <c r="N385" s="20"/>
      <c r="O385" s="17"/>
      <c r="P385" s="22" t="str">
        <f aca="false">IF(C385="","",IF(AND(M385="Sim",N385=""),"Agarrada sem motivo declarado",IF(AND(H385="Sim",I385=""),"Traciona hoje sem próximo passo",IF(AND(O385&lt;&gt;"",O385&gt;=14),"Parada há 14 dias ou mais",IF(AND(M385="Sim",O385&lt;&gt;"",O385&gt;=7),"Agarrada há 7 dias, escalar",IF(AND(I385&lt;&gt;"",J385=""),"Próximo passo sem data",""))))))</f>
        <v/>
      </c>
    </row>
    <row r="386" customFormat="false" ht="15" hidden="false" customHeight="false" outlineLevel="0" collapsed="false">
      <c r="A386" s="21"/>
      <c r="B386" s="17"/>
      <c r="C386" s="17"/>
      <c r="D386" s="19"/>
      <c r="E386" s="20"/>
      <c r="F386" s="20"/>
      <c r="G386" s="20"/>
      <c r="H386" s="20"/>
      <c r="I386" s="17"/>
      <c r="J386" s="21"/>
      <c r="K386" s="20"/>
      <c r="L386" s="17"/>
      <c r="M386" s="20"/>
      <c r="N386" s="20"/>
      <c r="O386" s="17"/>
      <c r="P386" s="22" t="str">
        <f aca="false">IF(C386="","",IF(AND(M386="Sim",N386=""),"Agarrada sem motivo declarado",IF(AND(H386="Sim",I386=""),"Traciona hoje sem próximo passo",IF(AND(O386&lt;&gt;"",O386&gt;=14),"Parada há 14 dias ou mais",IF(AND(M386="Sim",O386&lt;&gt;"",O386&gt;=7),"Agarrada há 7 dias, escalar",IF(AND(I386&lt;&gt;"",J386=""),"Próximo passo sem data",""))))))</f>
        <v/>
      </c>
    </row>
    <row r="387" customFormat="false" ht="15" hidden="false" customHeight="false" outlineLevel="0" collapsed="false">
      <c r="A387" s="21"/>
      <c r="B387" s="17"/>
      <c r="C387" s="17"/>
      <c r="D387" s="19"/>
      <c r="E387" s="20"/>
      <c r="F387" s="20"/>
      <c r="G387" s="20"/>
      <c r="H387" s="20"/>
      <c r="I387" s="17"/>
      <c r="J387" s="21"/>
      <c r="K387" s="20"/>
      <c r="L387" s="17"/>
      <c r="M387" s="20"/>
      <c r="N387" s="20"/>
      <c r="O387" s="17"/>
      <c r="P387" s="22" t="str">
        <f aca="false">IF(C387="","",IF(AND(M387="Sim",N387=""),"Agarrada sem motivo declarado",IF(AND(H387="Sim",I387=""),"Traciona hoje sem próximo passo",IF(AND(O387&lt;&gt;"",O387&gt;=14),"Parada há 14 dias ou mais",IF(AND(M387="Sim",O387&lt;&gt;"",O387&gt;=7),"Agarrada há 7 dias, escalar",IF(AND(I387&lt;&gt;"",J387=""),"Próximo passo sem data",""))))))</f>
        <v/>
      </c>
    </row>
    <row r="388" customFormat="false" ht="15" hidden="false" customHeight="false" outlineLevel="0" collapsed="false">
      <c r="A388" s="21"/>
      <c r="B388" s="17"/>
      <c r="C388" s="17"/>
      <c r="D388" s="19"/>
      <c r="E388" s="20"/>
      <c r="F388" s="20"/>
      <c r="G388" s="20"/>
      <c r="H388" s="20"/>
      <c r="I388" s="17"/>
      <c r="J388" s="21"/>
      <c r="K388" s="20"/>
      <c r="L388" s="17"/>
      <c r="M388" s="20"/>
      <c r="N388" s="20"/>
      <c r="O388" s="17"/>
      <c r="P388" s="22" t="str">
        <f aca="false">IF(C388="","",IF(AND(M388="Sim",N388=""),"Agarrada sem motivo declarado",IF(AND(H388="Sim",I388=""),"Traciona hoje sem próximo passo",IF(AND(O388&lt;&gt;"",O388&gt;=14),"Parada há 14 dias ou mais",IF(AND(M388="Sim",O388&lt;&gt;"",O388&gt;=7),"Agarrada há 7 dias, escalar",IF(AND(I388&lt;&gt;"",J388=""),"Próximo passo sem data",""))))))</f>
        <v/>
      </c>
    </row>
    <row r="389" customFormat="false" ht="15" hidden="false" customHeight="false" outlineLevel="0" collapsed="false">
      <c r="A389" s="21"/>
      <c r="B389" s="17"/>
      <c r="C389" s="17"/>
      <c r="D389" s="19"/>
      <c r="E389" s="20"/>
      <c r="F389" s="20"/>
      <c r="G389" s="20"/>
      <c r="H389" s="20"/>
      <c r="I389" s="17"/>
      <c r="J389" s="21"/>
      <c r="K389" s="20"/>
      <c r="L389" s="17"/>
      <c r="M389" s="20"/>
      <c r="N389" s="20"/>
      <c r="O389" s="17"/>
      <c r="P389" s="22" t="str">
        <f aca="false">IF(C389="","",IF(AND(M389="Sim",N389=""),"Agarrada sem motivo declarado",IF(AND(H389="Sim",I389=""),"Traciona hoje sem próximo passo",IF(AND(O389&lt;&gt;"",O389&gt;=14),"Parada há 14 dias ou mais",IF(AND(M389="Sim",O389&lt;&gt;"",O389&gt;=7),"Agarrada há 7 dias, escalar",IF(AND(I389&lt;&gt;"",J389=""),"Próximo passo sem data",""))))))</f>
        <v/>
      </c>
    </row>
    <row r="390" customFormat="false" ht="15" hidden="false" customHeight="false" outlineLevel="0" collapsed="false">
      <c r="A390" s="21"/>
      <c r="B390" s="17"/>
      <c r="C390" s="17"/>
      <c r="D390" s="19"/>
      <c r="E390" s="20"/>
      <c r="F390" s="20"/>
      <c r="G390" s="20"/>
      <c r="H390" s="20"/>
      <c r="I390" s="17"/>
      <c r="J390" s="21"/>
      <c r="K390" s="20"/>
      <c r="L390" s="17"/>
      <c r="M390" s="20"/>
      <c r="N390" s="20"/>
      <c r="O390" s="17"/>
      <c r="P390" s="22" t="str">
        <f aca="false">IF(C390="","",IF(AND(M390="Sim",N390=""),"Agarrada sem motivo declarado",IF(AND(H390="Sim",I390=""),"Traciona hoje sem próximo passo",IF(AND(O390&lt;&gt;"",O390&gt;=14),"Parada há 14 dias ou mais",IF(AND(M390="Sim",O390&lt;&gt;"",O390&gt;=7),"Agarrada há 7 dias, escalar",IF(AND(I390&lt;&gt;"",J390=""),"Próximo passo sem data",""))))))</f>
        <v/>
      </c>
    </row>
    <row r="391" customFormat="false" ht="15" hidden="false" customHeight="false" outlineLevel="0" collapsed="false">
      <c r="A391" s="21"/>
      <c r="B391" s="17"/>
      <c r="C391" s="17"/>
      <c r="D391" s="19"/>
      <c r="E391" s="20"/>
      <c r="F391" s="20"/>
      <c r="G391" s="20"/>
      <c r="H391" s="20"/>
      <c r="I391" s="17"/>
      <c r="J391" s="21"/>
      <c r="K391" s="20"/>
      <c r="L391" s="17"/>
      <c r="M391" s="20"/>
      <c r="N391" s="20"/>
      <c r="O391" s="17"/>
      <c r="P391" s="22" t="str">
        <f aca="false">IF(C391="","",IF(AND(M391="Sim",N391=""),"Agarrada sem motivo declarado",IF(AND(H391="Sim",I391=""),"Traciona hoje sem próximo passo",IF(AND(O391&lt;&gt;"",O391&gt;=14),"Parada há 14 dias ou mais",IF(AND(M391="Sim",O391&lt;&gt;"",O391&gt;=7),"Agarrada há 7 dias, escalar",IF(AND(I391&lt;&gt;"",J391=""),"Próximo passo sem data",""))))))</f>
        <v/>
      </c>
    </row>
    <row r="392" customFormat="false" ht="15" hidden="false" customHeight="false" outlineLevel="0" collapsed="false">
      <c r="A392" s="21"/>
      <c r="B392" s="17"/>
      <c r="C392" s="17"/>
      <c r="D392" s="19"/>
      <c r="E392" s="20"/>
      <c r="F392" s="20"/>
      <c r="G392" s="20"/>
      <c r="H392" s="20"/>
      <c r="I392" s="17"/>
      <c r="J392" s="21"/>
      <c r="K392" s="20"/>
      <c r="L392" s="17"/>
      <c r="M392" s="20"/>
      <c r="N392" s="20"/>
      <c r="O392" s="17"/>
      <c r="P392" s="22" t="str">
        <f aca="false">IF(C392="","",IF(AND(M392="Sim",N392=""),"Agarrada sem motivo declarado",IF(AND(H392="Sim",I392=""),"Traciona hoje sem próximo passo",IF(AND(O392&lt;&gt;"",O392&gt;=14),"Parada há 14 dias ou mais",IF(AND(M392="Sim",O392&lt;&gt;"",O392&gt;=7),"Agarrada há 7 dias, escalar",IF(AND(I392&lt;&gt;"",J392=""),"Próximo passo sem data",""))))))</f>
        <v/>
      </c>
    </row>
    <row r="393" customFormat="false" ht="15" hidden="false" customHeight="false" outlineLevel="0" collapsed="false">
      <c r="A393" s="21"/>
      <c r="B393" s="17"/>
      <c r="C393" s="17"/>
      <c r="D393" s="19"/>
      <c r="E393" s="20"/>
      <c r="F393" s="20"/>
      <c r="G393" s="20"/>
      <c r="H393" s="20"/>
      <c r="I393" s="17"/>
      <c r="J393" s="21"/>
      <c r="K393" s="20"/>
      <c r="L393" s="17"/>
      <c r="M393" s="20"/>
      <c r="N393" s="20"/>
      <c r="O393" s="17"/>
      <c r="P393" s="22" t="str">
        <f aca="false">IF(C393="","",IF(AND(M393="Sim",N393=""),"Agarrada sem motivo declarado",IF(AND(H393="Sim",I393=""),"Traciona hoje sem próximo passo",IF(AND(O393&lt;&gt;"",O393&gt;=14),"Parada há 14 dias ou mais",IF(AND(M393="Sim",O393&lt;&gt;"",O393&gt;=7),"Agarrada há 7 dias, escalar",IF(AND(I393&lt;&gt;"",J393=""),"Próximo passo sem data",""))))))</f>
        <v/>
      </c>
    </row>
    <row r="394" customFormat="false" ht="15" hidden="false" customHeight="false" outlineLevel="0" collapsed="false">
      <c r="A394" s="21"/>
      <c r="B394" s="17"/>
      <c r="C394" s="17"/>
      <c r="D394" s="19"/>
      <c r="E394" s="20"/>
      <c r="F394" s="20"/>
      <c r="G394" s="20"/>
      <c r="H394" s="20"/>
      <c r="I394" s="17"/>
      <c r="J394" s="21"/>
      <c r="K394" s="20"/>
      <c r="L394" s="17"/>
      <c r="M394" s="20"/>
      <c r="N394" s="20"/>
      <c r="O394" s="17"/>
      <c r="P394" s="22" t="str">
        <f aca="false">IF(C394="","",IF(AND(M394="Sim",N394=""),"Agarrada sem motivo declarado",IF(AND(H394="Sim",I394=""),"Traciona hoje sem próximo passo",IF(AND(O394&lt;&gt;"",O394&gt;=14),"Parada há 14 dias ou mais",IF(AND(M394="Sim",O394&lt;&gt;"",O394&gt;=7),"Agarrada há 7 dias, escalar",IF(AND(I394&lt;&gt;"",J394=""),"Próximo passo sem data",""))))))</f>
        <v/>
      </c>
    </row>
    <row r="395" customFormat="false" ht="15" hidden="false" customHeight="false" outlineLevel="0" collapsed="false">
      <c r="A395" s="21"/>
      <c r="B395" s="17"/>
      <c r="C395" s="17"/>
      <c r="D395" s="19"/>
      <c r="E395" s="20"/>
      <c r="F395" s="20"/>
      <c r="G395" s="20"/>
      <c r="H395" s="20"/>
      <c r="I395" s="17"/>
      <c r="J395" s="21"/>
      <c r="K395" s="20"/>
      <c r="L395" s="17"/>
      <c r="M395" s="20"/>
      <c r="N395" s="20"/>
      <c r="O395" s="17"/>
      <c r="P395" s="22" t="str">
        <f aca="false">IF(C395="","",IF(AND(M395="Sim",N395=""),"Agarrada sem motivo declarado",IF(AND(H395="Sim",I395=""),"Traciona hoje sem próximo passo",IF(AND(O395&lt;&gt;"",O395&gt;=14),"Parada há 14 dias ou mais",IF(AND(M395="Sim",O395&lt;&gt;"",O395&gt;=7),"Agarrada há 7 dias, escalar",IF(AND(I395&lt;&gt;"",J395=""),"Próximo passo sem data",""))))))</f>
        <v/>
      </c>
    </row>
    <row r="396" customFormat="false" ht="15" hidden="false" customHeight="false" outlineLevel="0" collapsed="false">
      <c r="A396" s="21"/>
      <c r="B396" s="17"/>
      <c r="C396" s="17"/>
      <c r="D396" s="19"/>
      <c r="E396" s="20"/>
      <c r="F396" s="20"/>
      <c r="G396" s="20"/>
      <c r="H396" s="20"/>
      <c r="I396" s="17"/>
      <c r="J396" s="21"/>
      <c r="K396" s="20"/>
      <c r="L396" s="17"/>
      <c r="M396" s="20"/>
      <c r="N396" s="20"/>
      <c r="O396" s="17"/>
      <c r="P396" s="22" t="str">
        <f aca="false">IF(C396="","",IF(AND(M396="Sim",N396=""),"Agarrada sem motivo declarado",IF(AND(H396="Sim",I396=""),"Traciona hoje sem próximo passo",IF(AND(O396&lt;&gt;"",O396&gt;=14),"Parada há 14 dias ou mais",IF(AND(M396="Sim",O396&lt;&gt;"",O396&gt;=7),"Agarrada há 7 dias, escalar",IF(AND(I396&lt;&gt;"",J396=""),"Próximo passo sem data",""))))))</f>
        <v/>
      </c>
    </row>
    <row r="397" customFormat="false" ht="15" hidden="false" customHeight="false" outlineLevel="0" collapsed="false">
      <c r="A397" s="21"/>
      <c r="B397" s="17"/>
      <c r="C397" s="17"/>
      <c r="D397" s="19"/>
      <c r="E397" s="20"/>
      <c r="F397" s="20"/>
      <c r="G397" s="20"/>
      <c r="H397" s="20"/>
      <c r="I397" s="17"/>
      <c r="J397" s="21"/>
      <c r="K397" s="20"/>
      <c r="L397" s="17"/>
      <c r="M397" s="20"/>
      <c r="N397" s="20"/>
      <c r="O397" s="17"/>
      <c r="P397" s="22" t="str">
        <f aca="false">IF(C397="","",IF(AND(M397="Sim",N397=""),"Agarrada sem motivo declarado",IF(AND(H397="Sim",I397=""),"Traciona hoje sem próximo passo",IF(AND(O397&lt;&gt;"",O397&gt;=14),"Parada há 14 dias ou mais",IF(AND(M397="Sim",O397&lt;&gt;"",O397&gt;=7),"Agarrada há 7 dias, escalar",IF(AND(I397&lt;&gt;"",J397=""),"Próximo passo sem data",""))))))</f>
        <v/>
      </c>
    </row>
    <row r="398" customFormat="false" ht="15" hidden="false" customHeight="false" outlineLevel="0" collapsed="false">
      <c r="A398" s="21"/>
      <c r="B398" s="17"/>
      <c r="C398" s="17"/>
      <c r="D398" s="19"/>
      <c r="E398" s="20"/>
      <c r="F398" s="20"/>
      <c r="G398" s="20"/>
      <c r="H398" s="20"/>
      <c r="I398" s="17"/>
      <c r="J398" s="21"/>
      <c r="K398" s="20"/>
      <c r="L398" s="17"/>
      <c r="M398" s="20"/>
      <c r="N398" s="20"/>
      <c r="O398" s="17"/>
      <c r="P398" s="22" t="str">
        <f aca="false">IF(C398="","",IF(AND(M398="Sim",N398=""),"Agarrada sem motivo declarado",IF(AND(H398="Sim",I398=""),"Traciona hoje sem próximo passo",IF(AND(O398&lt;&gt;"",O398&gt;=14),"Parada há 14 dias ou mais",IF(AND(M398="Sim",O398&lt;&gt;"",O398&gt;=7),"Agarrada há 7 dias, escalar",IF(AND(I398&lt;&gt;"",J398=""),"Próximo passo sem data",""))))))</f>
        <v/>
      </c>
    </row>
    <row r="399" customFormat="false" ht="15" hidden="false" customHeight="false" outlineLevel="0" collapsed="false">
      <c r="A399" s="21"/>
      <c r="B399" s="17"/>
      <c r="C399" s="17"/>
      <c r="D399" s="19"/>
      <c r="E399" s="20"/>
      <c r="F399" s="20"/>
      <c r="G399" s="20"/>
      <c r="H399" s="20"/>
      <c r="I399" s="17"/>
      <c r="J399" s="21"/>
      <c r="K399" s="20"/>
      <c r="L399" s="17"/>
      <c r="M399" s="20"/>
      <c r="N399" s="20"/>
      <c r="O399" s="17"/>
      <c r="P399" s="22" t="str">
        <f aca="false">IF(C399="","",IF(AND(M399="Sim",N399=""),"Agarrada sem motivo declarado",IF(AND(H399="Sim",I399=""),"Traciona hoje sem próximo passo",IF(AND(O399&lt;&gt;"",O399&gt;=14),"Parada há 14 dias ou mais",IF(AND(M399="Sim",O399&lt;&gt;"",O399&gt;=7),"Agarrada há 7 dias, escalar",IF(AND(I399&lt;&gt;"",J399=""),"Próximo passo sem data",""))))))</f>
        <v/>
      </c>
    </row>
    <row r="400" customFormat="false" ht="15" hidden="false" customHeight="false" outlineLevel="0" collapsed="false">
      <c r="A400" s="21"/>
      <c r="B400" s="17"/>
      <c r="C400" s="17"/>
      <c r="D400" s="19"/>
      <c r="E400" s="20"/>
      <c r="F400" s="20"/>
      <c r="G400" s="20"/>
      <c r="H400" s="20"/>
      <c r="I400" s="17"/>
      <c r="J400" s="21"/>
      <c r="K400" s="20"/>
      <c r="L400" s="17"/>
      <c r="M400" s="20"/>
      <c r="N400" s="20"/>
      <c r="O400" s="17"/>
      <c r="P400" s="22" t="str">
        <f aca="false">IF(C400="","",IF(AND(M400="Sim",N400=""),"Agarrada sem motivo declarado",IF(AND(H400="Sim",I400=""),"Traciona hoje sem próximo passo",IF(AND(O400&lt;&gt;"",O400&gt;=14),"Parada há 14 dias ou mais",IF(AND(M400="Sim",O400&lt;&gt;"",O400&gt;=7),"Agarrada há 7 dias, escalar",IF(AND(I400&lt;&gt;"",J400=""),"Próximo passo sem data",""))))))</f>
        <v/>
      </c>
    </row>
    <row r="401" customFormat="false" ht="15" hidden="false" customHeight="false" outlineLevel="0" collapsed="false">
      <c r="A401" s="21"/>
      <c r="B401" s="17"/>
      <c r="C401" s="17"/>
      <c r="D401" s="19"/>
      <c r="E401" s="20"/>
      <c r="F401" s="20"/>
      <c r="G401" s="20"/>
      <c r="H401" s="20"/>
      <c r="I401" s="17"/>
      <c r="J401" s="21"/>
      <c r="K401" s="20"/>
      <c r="L401" s="17"/>
      <c r="M401" s="20"/>
      <c r="N401" s="20"/>
      <c r="O401" s="17"/>
      <c r="P401" s="22" t="str">
        <f aca="false">IF(C401="","",IF(AND(M401="Sim",N401=""),"Agarrada sem motivo declarado",IF(AND(H401="Sim",I401=""),"Traciona hoje sem próximo passo",IF(AND(O401&lt;&gt;"",O401&gt;=14),"Parada há 14 dias ou mais",IF(AND(M401="Sim",O401&lt;&gt;"",O401&gt;=7),"Agarrada há 7 dias, escalar",IF(AND(I401&lt;&gt;"",J401=""),"Próximo passo sem data",""))))))</f>
        <v/>
      </c>
    </row>
    <row r="402" customFormat="false" ht="15" hidden="false" customHeight="false" outlineLevel="0" collapsed="false">
      <c r="A402" s="21"/>
      <c r="B402" s="17"/>
      <c r="C402" s="17"/>
      <c r="D402" s="19"/>
      <c r="E402" s="20"/>
      <c r="F402" s="20"/>
      <c r="G402" s="20"/>
      <c r="H402" s="20"/>
      <c r="I402" s="17"/>
      <c r="J402" s="21"/>
      <c r="K402" s="20"/>
      <c r="L402" s="17"/>
      <c r="M402" s="20"/>
      <c r="N402" s="20"/>
      <c r="O402" s="17"/>
      <c r="P402" s="22" t="str">
        <f aca="false">IF(C402="","",IF(AND(M402="Sim",N402=""),"Agarrada sem motivo declarado",IF(AND(H402="Sim",I402=""),"Traciona hoje sem próximo passo",IF(AND(O402&lt;&gt;"",O402&gt;=14),"Parada há 14 dias ou mais",IF(AND(M402="Sim",O402&lt;&gt;"",O402&gt;=7),"Agarrada há 7 dias, escalar",IF(AND(I402&lt;&gt;"",J402=""),"Próximo passo sem data",""))))))</f>
        <v/>
      </c>
    </row>
    <row r="403" customFormat="false" ht="15" hidden="false" customHeight="false" outlineLevel="0" collapsed="false">
      <c r="A403" s="21"/>
      <c r="B403" s="17"/>
      <c r="C403" s="17"/>
      <c r="D403" s="19"/>
      <c r="E403" s="20"/>
      <c r="F403" s="20"/>
      <c r="G403" s="20"/>
      <c r="H403" s="20"/>
      <c r="I403" s="17"/>
      <c r="J403" s="21"/>
      <c r="K403" s="20"/>
      <c r="L403" s="17"/>
      <c r="M403" s="20"/>
      <c r="N403" s="20"/>
      <c r="O403" s="17"/>
      <c r="P403" s="22" t="str">
        <f aca="false">IF(C403="","",IF(AND(M403="Sim",N403=""),"Agarrada sem motivo declarado",IF(AND(H403="Sim",I403=""),"Traciona hoje sem próximo passo",IF(AND(O403&lt;&gt;"",O403&gt;=14),"Parada há 14 dias ou mais",IF(AND(M403="Sim",O403&lt;&gt;"",O403&gt;=7),"Agarrada há 7 dias, escalar",IF(AND(I403&lt;&gt;"",J403=""),"Próximo passo sem data",""))))))</f>
        <v/>
      </c>
    </row>
    <row r="404" customFormat="false" ht="15" hidden="false" customHeight="false" outlineLevel="0" collapsed="false">
      <c r="A404" s="21"/>
      <c r="B404" s="17"/>
      <c r="C404" s="17"/>
      <c r="D404" s="19"/>
      <c r="E404" s="20"/>
      <c r="F404" s="20"/>
      <c r="G404" s="20"/>
      <c r="H404" s="20"/>
      <c r="I404" s="17"/>
      <c r="J404" s="21"/>
      <c r="K404" s="20"/>
      <c r="L404" s="17"/>
      <c r="M404" s="20"/>
      <c r="N404" s="20"/>
      <c r="O404" s="17"/>
      <c r="P404" s="22" t="str">
        <f aca="false">IF(C404="","",IF(AND(M404="Sim",N404=""),"Agarrada sem motivo declarado",IF(AND(H404="Sim",I404=""),"Traciona hoje sem próximo passo",IF(AND(O404&lt;&gt;"",O404&gt;=14),"Parada há 14 dias ou mais",IF(AND(M404="Sim",O404&lt;&gt;"",O404&gt;=7),"Agarrada há 7 dias, escalar",IF(AND(I404&lt;&gt;"",J404=""),"Próximo passo sem data",""))))))</f>
        <v/>
      </c>
    </row>
    <row r="405" customFormat="false" ht="15" hidden="false" customHeight="false" outlineLevel="0" collapsed="false">
      <c r="A405" s="21"/>
      <c r="B405" s="17"/>
      <c r="C405" s="17"/>
      <c r="D405" s="19"/>
      <c r="E405" s="20"/>
      <c r="F405" s="20"/>
      <c r="G405" s="20"/>
      <c r="H405" s="20"/>
      <c r="I405" s="17"/>
      <c r="J405" s="21"/>
      <c r="K405" s="20"/>
      <c r="L405" s="17"/>
      <c r="M405" s="20"/>
      <c r="N405" s="20"/>
      <c r="O405" s="17"/>
      <c r="P405" s="22" t="str">
        <f aca="false">IF(C405="","",IF(AND(M405="Sim",N405=""),"Agarrada sem motivo declarado",IF(AND(H405="Sim",I405=""),"Traciona hoje sem próximo passo",IF(AND(O405&lt;&gt;"",O405&gt;=14),"Parada há 14 dias ou mais",IF(AND(M405="Sim",O405&lt;&gt;"",O405&gt;=7),"Agarrada há 7 dias, escalar",IF(AND(I405&lt;&gt;"",J405=""),"Próximo passo sem data",""))))))</f>
        <v/>
      </c>
    </row>
    <row r="406" customFormat="false" ht="15" hidden="false" customHeight="false" outlineLevel="0" collapsed="false">
      <c r="A406" s="21"/>
      <c r="B406" s="17"/>
      <c r="C406" s="17"/>
      <c r="D406" s="19"/>
      <c r="E406" s="20"/>
      <c r="F406" s="20"/>
      <c r="G406" s="20"/>
      <c r="H406" s="20"/>
      <c r="I406" s="17"/>
      <c r="J406" s="21"/>
      <c r="K406" s="20"/>
      <c r="L406" s="17"/>
      <c r="M406" s="20"/>
      <c r="N406" s="20"/>
      <c r="O406" s="17"/>
      <c r="P406" s="22" t="str">
        <f aca="false">IF(C406="","",IF(AND(M406="Sim",N406=""),"Agarrada sem motivo declarado",IF(AND(H406="Sim",I406=""),"Traciona hoje sem próximo passo",IF(AND(O406&lt;&gt;"",O406&gt;=14),"Parada há 14 dias ou mais",IF(AND(M406="Sim",O406&lt;&gt;"",O406&gt;=7),"Agarrada há 7 dias, escalar",IF(AND(I406&lt;&gt;"",J406=""),"Próximo passo sem data",""))))))</f>
        <v/>
      </c>
    </row>
    <row r="407" customFormat="false" ht="15" hidden="false" customHeight="false" outlineLevel="0" collapsed="false">
      <c r="A407" s="21"/>
      <c r="B407" s="17"/>
      <c r="C407" s="17"/>
      <c r="D407" s="19"/>
      <c r="E407" s="20"/>
      <c r="F407" s="20"/>
      <c r="G407" s="20"/>
      <c r="H407" s="20"/>
      <c r="I407" s="17"/>
      <c r="J407" s="21"/>
      <c r="K407" s="20"/>
      <c r="L407" s="17"/>
      <c r="M407" s="20"/>
      <c r="N407" s="20"/>
      <c r="O407" s="17"/>
      <c r="P407" s="22" t="str">
        <f aca="false">IF(C407="","",IF(AND(M407="Sim",N407=""),"Agarrada sem motivo declarado",IF(AND(H407="Sim",I407=""),"Traciona hoje sem próximo passo",IF(AND(O407&lt;&gt;"",O407&gt;=14),"Parada há 14 dias ou mais",IF(AND(M407="Sim",O407&lt;&gt;"",O407&gt;=7),"Agarrada há 7 dias, escalar",IF(AND(I407&lt;&gt;"",J407=""),"Próximo passo sem data",""))))))</f>
        <v/>
      </c>
    </row>
    <row r="408" customFormat="false" ht="15" hidden="false" customHeight="false" outlineLevel="0" collapsed="false">
      <c r="A408" s="21"/>
      <c r="B408" s="17"/>
      <c r="C408" s="17"/>
      <c r="D408" s="19"/>
      <c r="E408" s="20"/>
      <c r="F408" s="20"/>
      <c r="G408" s="20"/>
      <c r="H408" s="20"/>
      <c r="I408" s="17"/>
      <c r="J408" s="21"/>
      <c r="K408" s="20"/>
      <c r="L408" s="17"/>
      <c r="M408" s="20"/>
      <c r="N408" s="20"/>
      <c r="O408" s="17"/>
      <c r="P408" s="22" t="str">
        <f aca="false">IF(C408="","",IF(AND(M408="Sim",N408=""),"Agarrada sem motivo declarado",IF(AND(H408="Sim",I408=""),"Traciona hoje sem próximo passo",IF(AND(O408&lt;&gt;"",O408&gt;=14),"Parada há 14 dias ou mais",IF(AND(M408="Sim",O408&lt;&gt;"",O408&gt;=7),"Agarrada há 7 dias, escalar",IF(AND(I408&lt;&gt;"",J408=""),"Próximo passo sem data",""))))))</f>
        <v/>
      </c>
    </row>
    <row r="409" customFormat="false" ht="15" hidden="false" customHeight="false" outlineLevel="0" collapsed="false">
      <c r="A409" s="21"/>
      <c r="B409" s="17"/>
      <c r="C409" s="17"/>
      <c r="D409" s="19"/>
      <c r="E409" s="20"/>
      <c r="F409" s="20"/>
      <c r="G409" s="20"/>
      <c r="H409" s="20"/>
      <c r="I409" s="17"/>
      <c r="J409" s="21"/>
      <c r="K409" s="20"/>
      <c r="L409" s="17"/>
      <c r="M409" s="20"/>
      <c r="N409" s="20"/>
      <c r="O409" s="17"/>
      <c r="P409" s="22" t="str">
        <f aca="false">IF(C409="","",IF(AND(M409="Sim",N409=""),"Agarrada sem motivo declarado",IF(AND(H409="Sim",I409=""),"Traciona hoje sem próximo passo",IF(AND(O409&lt;&gt;"",O409&gt;=14),"Parada há 14 dias ou mais",IF(AND(M409="Sim",O409&lt;&gt;"",O409&gt;=7),"Agarrada há 7 dias, escalar",IF(AND(I409&lt;&gt;"",J409=""),"Próximo passo sem data",""))))))</f>
        <v/>
      </c>
    </row>
    <row r="410" customFormat="false" ht="15" hidden="false" customHeight="false" outlineLevel="0" collapsed="false">
      <c r="A410" s="21"/>
      <c r="B410" s="17"/>
      <c r="C410" s="17"/>
      <c r="D410" s="19"/>
      <c r="E410" s="20"/>
      <c r="F410" s="20"/>
      <c r="G410" s="20"/>
      <c r="H410" s="20"/>
      <c r="I410" s="17"/>
      <c r="J410" s="21"/>
      <c r="K410" s="20"/>
      <c r="L410" s="17"/>
      <c r="M410" s="20"/>
      <c r="N410" s="20"/>
      <c r="O410" s="17"/>
      <c r="P410" s="22" t="str">
        <f aca="false">IF(C410="","",IF(AND(M410="Sim",N410=""),"Agarrada sem motivo declarado",IF(AND(H410="Sim",I410=""),"Traciona hoje sem próximo passo",IF(AND(O410&lt;&gt;"",O410&gt;=14),"Parada há 14 dias ou mais",IF(AND(M410="Sim",O410&lt;&gt;"",O410&gt;=7),"Agarrada há 7 dias, escalar",IF(AND(I410&lt;&gt;"",J410=""),"Próximo passo sem data",""))))))</f>
        <v/>
      </c>
    </row>
    <row r="411" customFormat="false" ht="15" hidden="false" customHeight="false" outlineLevel="0" collapsed="false">
      <c r="A411" s="21"/>
      <c r="B411" s="17"/>
      <c r="C411" s="17"/>
      <c r="D411" s="19"/>
      <c r="E411" s="20"/>
      <c r="F411" s="20"/>
      <c r="G411" s="20"/>
      <c r="H411" s="20"/>
      <c r="I411" s="17"/>
      <c r="J411" s="21"/>
      <c r="K411" s="20"/>
      <c r="L411" s="17"/>
      <c r="M411" s="20"/>
      <c r="N411" s="20"/>
      <c r="O411" s="17"/>
      <c r="P411" s="22" t="str">
        <f aca="false">IF(C411="","",IF(AND(M411="Sim",N411=""),"Agarrada sem motivo declarado",IF(AND(H411="Sim",I411=""),"Traciona hoje sem próximo passo",IF(AND(O411&lt;&gt;"",O411&gt;=14),"Parada há 14 dias ou mais",IF(AND(M411="Sim",O411&lt;&gt;"",O411&gt;=7),"Agarrada há 7 dias, escalar",IF(AND(I411&lt;&gt;"",J411=""),"Próximo passo sem data",""))))))</f>
        <v/>
      </c>
    </row>
    <row r="412" customFormat="false" ht="15" hidden="false" customHeight="false" outlineLevel="0" collapsed="false">
      <c r="A412" s="21"/>
      <c r="B412" s="17"/>
      <c r="C412" s="17"/>
      <c r="D412" s="19"/>
      <c r="E412" s="20"/>
      <c r="F412" s="20"/>
      <c r="G412" s="20"/>
      <c r="H412" s="20"/>
      <c r="I412" s="17"/>
      <c r="J412" s="21"/>
      <c r="K412" s="20"/>
      <c r="L412" s="17"/>
      <c r="M412" s="20"/>
      <c r="N412" s="20"/>
      <c r="O412" s="17"/>
      <c r="P412" s="22" t="str">
        <f aca="false">IF(C412="","",IF(AND(M412="Sim",N412=""),"Agarrada sem motivo declarado",IF(AND(H412="Sim",I412=""),"Traciona hoje sem próximo passo",IF(AND(O412&lt;&gt;"",O412&gt;=14),"Parada há 14 dias ou mais",IF(AND(M412="Sim",O412&lt;&gt;"",O412&gt;=7),"Agarrada há 7 dias, escalar",IF(AND(I412&lt;&gt;"",J412=""),"Próximo passo sem data",""))))))</f>
        <v/>
      </c>
    </row>
    <row r="413" customFormat="false" ht="15" hidden="false" customHeight="false" outlineLevel="0" collapsed="false">
      <c r="A413" s="21"/>
      <c r="B413" s="17"/>
      <c r="C413" s="17"/>
      <c r="D413" s="19"/>
      <c r="E413" s="20"/>
      <c r="F413" s="20"/>
      <c r="G413" s="20"/>
      <c r="H413" s="20"/>
      <c r="I413" s="17"/>
      <c r="J413" s="21"/>
      <c r="K413" s="20"/>
      <c r="L413" s="17"/>
      <c r="M413" s="20"/>
      <c r="N413" s="20"/>
      <c r="O413" s="17"/>
      <c r="P413" s="22" t="str">
        <f aca="false">IF(C413="","",IF(AND(M413="Sim",N413=""),"Agarrada sem motivo declarado",IF(AND(H413="Sim",I413=""),"Traciona hoje sem próximo passo",IF(AND(O413&lt;&gt;"",O413&gt;=14),"Parada há 14 dias ou mais",IF(AND(M413="Sim",O413&lt;&gt;"",O413&gt;=7),"Agarrada há 7 dias, escalar",IF(AND(I413&lt;&gt;"",J413=""),"Próximo passo sem data",""))))))</f>
        <v/>
      </c>
    </row>
    <row r="414" customFormat="false" ht="15" hidden="false" customHeight="false" outlineLevel="0" collapsed="false">
      <c r="A414" s="21"/>
      <c r="B414" s="17"/>
      <c r="C414" s="17"/>
      <c r="D414" s="19"/>
      <c r="E414" s="20"/>
      <c r="F414" s="20"/>
      <c r="G414" s="20"/>
      <c r="H414" s="20"/>
      <c r="I414" s="17"/>
      <c r="J414" s="21"/>
      <c r="K414" s="20"/>
      <c r="L414" s="17"/>
      <c r="M414" s="20"/>
      <c r="N414" s="20"/>
      <c r="O414" s="17"/>
      <c r="P414" s="22" t="str">
        <f aca="false">IF(C414="","",IF(AND(M414="Sim",N414=""),"Agarrada sem motivo declarado",IF(AND(H414="Sim",I414=""),"Traciona hoje sem próximo passo",IF(AND(O414&lt;&gt;"",O414&gt;=14),"Parada há 14 dias ou mais",IF(AND(M414="Sim",O414&lt;&gt;"",O414&gt;=7),"Agarrada há 7 dias, escalar",IF(AND(I414&lt;&gt;"",J414=""),"Próximo passo sem data",""))))))</f>
        <v/>
      </c>
    </row>
    <row r="415" customFormat="false" ht="15" hidden="false" customHeight="false" outlineLevel="0" collapsed="false">
      <c r="A415" s="21"/>
      <c r="B415" s="17"/>
      <c r="C415" s="17"/>
      <c r="D415" s="19"/>
      <c r="E415" s="20"/>
      <c r="F415" s="20"/>
      <c r="G415" s="20"/>
      <c r="H415" s="20"/>
      <c r="I415" s="17"/>
      <c r="J415" s="21"/>
      <c r="K415" s="20"/>
      <c r="L415" s="17"/>
      <c r="M415" s="20"/>
      <c r="N415" s="20"/>
      <c r="O415" s="17"/>
      <c r="P415" s="22" t="str">
        <f aca="false">IF(C415="","",IF(AND(M415="Sim",N415=""),"Agarrada sem motivo declarado",IF(AND(H415="Sim",I415=""),"Traciona hoje sem próximo passo",IF(AND(O415&lt;&gt;"",O415&gt;=14),"Parada há 14 dias ou mais",IF(AND(M415="Sim",O415&lt;&gt;"",O415&gt;=7),"Agarrada há 7 dias, escalar",IF(AND(I415&lt;&gt;"",J415=""),"Próximo passo sem data",""))))))</f>
        <v/>
      </c>
    </row>
    <row r="416" customFormat="false" ht="15" hidden="false" customHeight="false" outlineLevel="0" collapsed="false">
      <c r="A416" s="21"/>
      <c r="B416" s="17"/>
      <c r="C416" s="17"/>
      <c r="D416" s="19"/>
      <c r="E416" s="20"/>
      <c r="F416" s="20"/>
      <c r="G416" s="20"/>
      <c r="H416" s="20"/>
      <c r="I416" s="17"/>
      <c r="J416" s="21"/>
      <c r="K416" s="20"/>
      <c r="L416" s="17"/>
      <c r="M416" s="20"/>
      <c r="N416" s="20"/>
      <c r="O416" s="17"/>
      <c r="P416" s="22" t="str">
        <f aca="false">IF(C416="","",IF(AND(M416="Sim",N416=""),"Agarrada sem motivo declarado",IF(AND(H416="Sim",I416=""),"Traciona hoje sem próximo passo",IF(AND(O416&lt;&gt;"",O416&gt;=14),"Parada há 14 dias ou mais",IF(AND(M416="Sim",O416&lt;&gt;"",O416&gt;=7),"Agarrada há 7 dias, escalar",IF(AND(I416&lt;&gt;"",J416=""),"Próximo passo sem data",""))))))</f>
        <v/>
      </c>
    </row>
    <row r="417" customFormat="false" ht="15" hidden="false" customHeight="false" outlineLevel="0" collapsed="false">
      <c r="A417" s="21"/>
      <c r="B417" s="17"/>
      <c r="C417" s="17"/>
      <c r="D417" s="19"/>
      <c r="E417" s="20"/>
      <c r="F417" s="20"/>
      <c r="G417" s="20"/>
      <c r="H417" s="20"/>
      <c r="I417" s="17"/>
      <c r="J417" s="21"/>
      <c r="K417" s="20"/>
      <c r="L417" s="17"/>
      <c r="M417" s="20"/>
      <c r="N417" s="20"/>
      <c r="O417" s="17"/>
      <c r="P417" s="22" t="str">
        <f aca="false">IF(C417="","",IF(AND(M417="Sim",N417=""),"Agarrada sem motivo declarado",IF(AND(H417="Sim",I417=""),"Traciona hoje sem próximo passo",IF(AND(O417&lt;&gt;"",O417&gt;=14),"Parada há 14 dias ou mais",IF(AND(M417="Sim",O417&lt;&gt;"",O417&gt;=7),"Agarrada há 7 dias, escalar",IF(AND(I417&lt;&gt;"",J417=""),"Próximo passo sem data",""))))))</f>
        <v/>
      </c>
    </row>
    <row r="418" customFormat="false" ht="15" hidden="false" customHeight="false" outlineLevel="0" collapsed="false">
      <c r="A418" s="21"/>
      <c r="B418" s="17"/>
      <c r="C418" s="17"/>
      <c r="D418" s="19"/>
      <c r="E418" s="20"/>
      <c r="F418" s="20"/>
      <c r="G418" s="20"/>
      <c r="H418" s="20"/>
      <c r="I418" s="17"/>
      <c r="J418" s="21"/>
      <c r="K418" s="20"/>
      <c r="L418" s="17"/>
      <c r="M418" s="20"/>
      <c r="N418" s="20"/>
      <c r="O418" s="17"/>
      <c r="P418" s="22" t="str">
        <f aca="false">IF(C418="","",IF(AND(M418="Sim",N418=""),"Agarrada sem motivo declarado",IF(AND(H418="Sim",I418=""),"Traciona hoje sem próximo passo",IF(AND(O418&lt;&gt;"",O418&gt;=14),"Parada há 14 dias ou mais",IF(AND(M418="Sim",O418&lt;&gt;"",O418&gt;=7),"Agarrada há 7 dias, escalar",IF(AND(I418&lt;&gt;"",J418=""),"Próximo passo sem data",""))))))</f>
        <v/>
      </c>
    </row>
    <row r="419" customFormat="false" ht="15" hidden="false" customHeight="false" outlineLevel="0" collapsed="false">
      <c r="A419" s="21"/>
      <c r="B419" s="17"/>
      <c r="C419" s="17"/>
      <c r="D419" s="19"/>
      <c r="E419" s="20"/>
      <c r="F419" s="20"/>
      <c r="G419" s="20"/>
      <c r="H419" s="20"/>
      <c r="I419" s="17"/>
      <c r="J419" s="21"/>
      <c r="K419" s="20"/>
      <c r="L419" s="17"/>
      <c r="M419" s="20"/>
      <c r="N419" s="20"/>
      <c r="O419" s="17"/>
      <c r="P419" s="22" t="str">
        <f aca="false">IF(C419="","",IF(AND(M419="Sim",N419=""),"Agarrada sem motivo declarado",IF(AND(H419="Sim",I419=""),"Traciona hoje sem próximo passo",IF(AND(O419&lt;&gt;"",O419&gt;=14),"Parada há 14 dias ou mais",IF(AND(M419="Sim",O419&lt;&gt;"",O419&gt;=7),"Agarrada há 7 dias, escalar",IF(AND(I419&lt;&gt;"",J419=""),"Próximo passo sem data",""))))))</f>
        <v/>
      </c>
    </row>
    <row r="420" customFormat="false" ht="15" hidden="false" customHeight="false" outlineLevel="0" collapsed="false">
      <c r="A420" s="21"/>
      <c r="B420" s="17"/>
      <c r="C420" s="17"/>
      <c r="D420" s="19"/>
      <c r="E420" s="20"/>
      <c r="F420" s="20"/>
      <c r="G420" s="20"/>
      <c r="H420" s="20"/>
      <c r="I420" s="17"/>
      <c r="J420" s="21"/>
      <c r="K420" s="20"/>
      <c r="L420" s="17"/>
      <c r="M420" s="20"/>
      <c r="N420" s="20"/>
      <c r="O420" s="17"/>
      <c r="P420" s="22" t="str">
        <f aca="false">IF(C420="","",IF(AND(M420="Sim",N420=""),"Agarrada sem motivo declarado",IF(AND(H420="Sim",I420=""),"Traciona hoje sem próximo passo",IF(AND(O420&lt;&gt;"",O420&gt;=14),"Parada há 14 dias ou mais",IF(AND(M420="Sim",O420&lt;&gt;"",O420&gt;=7),"Agarrada há 7 dias, escalar",IF(AND(I420&lt;&gt;"",J420=""),"Próximo passo sem data",""))))))</f>
        <v/>
      </c>
    </row>
    <row r="421" customFormat="false" ht="15" hidden="false" customHeight="false" outlineLevel="0" collapsed="false">
      <c r="A421" s="21"/>
      <c r="B421" s="17"/>
      <c r="C421" s="17"/>
      <c r="D421" s="19"/>
      <c r="E421" s="20"/>
      <c r="F421" s="20"/>
      <c r="G421" s="20"/>
      <c r="H421" s="20"/>
      <c r="I421" s="17"/>
      <c r="J421" s="21"/>
      <c r="K421" s="20"/>
      <c r="L421" s="17"/>
      <c r="M421" s="20"/>
      <c r="N421" s="20"/>
      <c r="O421" s="17"/>
      <c r="P421" s="22" t="str">
        <f aca="false">IF(C421="","",IF(AND(M421="Sim",N421=""),"Agarrada sem motivo declarado",IF(AND(H421="Sim",I421=""),"Traciona hoje sem próximo passo",IF(AND(O421&lt;&gt;"",O421&gt;=14),"Parada há 14 dias ou mais",IF(AND(M421="Sim",O421&lt;&gt;"",O421&gt;=7),"Agarrada há 7 dias, escalar",IF(AND(I421&lt;&gt;"",J421=""),"Próximo passo sem data",""))))))</f>
        <v/>
      </c>
    </row>
    <row r="422" customFormat="false" ht="15" hidden="false" customHeight="false" outlineLevel="0" collapsed="false">
      <c r="A422" s="21"/>
      <c r="B422" s="17"/>
      <c r="C422" s="17"/>
      <c r="D422" s="19"/>
      <c r="E422" s="20"/>
      <c r="F422" s="20"/>
      <c r="G422" s="20"/>
      <c r="H422" s="20"/>
      <c r="I422" s="17"/>
      <c r="J422" s="21"/>
      <c r="K422" s="20"/>
      <c r="L422" s="17"/>
      <c r="M422" s="20"/>
      <c r="N422" s="20"/>
      <c r="O422" s="17"/>
      <c r="P422" s="22" t="str">
        <f aca="false">IF(C422="","",IF(AND(M422="Sim",N422=""),"Agarrada sem motivo declarado",IF(AND(H422="Sim",I422=""),"Traciona hoje sem próximo passo",IF(AND(O422&lt;&gt;"",O422&gt;=14),"Parada há 14 dias ou mais",IF(AND(M422="Sim",O422&lt;&gt;"",O422&gt;=7),"Agarrada há 7 dias, escalar",IF(AND(I422&lt;&gt;"",J422=""),"Próximo passo sem data",""))))))</f>
        <v/>
      </c>
    </row>
    <row r="423" customFormat="false" ht="15" hidden="false" customHeight="false" outlineLevel="0" collapsed="false">
      <c r="A423" s="21"/>
      <c r="B423" s="17"/>
      <c r="C423" s="17"/>
      <c r="D423" s="19"/>
      <c r="E423" s="20"/>
      <c r="F423" s="20"/>
      <c r="G423" s="20"/>
      <c r="H423" s="20"/>
      <c r="I423" s="17"/>
      <c r="J423" s="21"/>
      <c r="K423" s="20"/>
      <c r="L423" s="17"/>
      <c r="M423" s="20"/>
      <c r="N423" s="20"/>
      <c r="O423" s="17"/>
      <c r="P423" s="22" t="str">
        <f aca="false">IF(C423="","",IF(AND(M423="Sim",N423=""),"Agarrada sem motivo declarado",IF(AND(H423="Sim",I423=""),"Traciona hoje sem próximo passo",IF(AND(O423&lt;&gt;"",O423&gt;=14),"Parada há 14 dias ou mais",IF(AND(M423="Sim",O423&lt;&gt;"",O423&gt;=7),"Agarrada há 7 dias, escalar",IF(AND(I423&lt;&gt;"",J423=""),"Próximo passo sem data",""))))))</f>
        <v/>
      </c>
    </row>
    <row r="424" customFormat="false" ht="15" hidden="false" customHeight="false" outlineLevel="0" collapsed="false">
      <c r="A424" s="21"/>
      <c r="B424" s="17"/>
      <c r="C424" s="17"/>
      <c r="D424" s="19"/>
      <c r="E424" s="20"/>
      <c r="F424" s="20"/>
      <c r="G424" s="20"/>
      <c r="H424" s="20"/>
      <c r="I424" s="17"/>
      <c r="J424" s="21"/>
      <c r="K424" s="20"/>
      <c r="L424" s="17"/>
      <c r="M424" s="20"/>
      <c r="N424" s="20"/>
      <c r="O424" s="17"/>
      <c r="P424" s="22" t="str">
        <f aca="false">IF(C424="","",IF(AND(M424="Sim",N424=""),"Agarrada sem motivo declarado",IF(AND(H424="Sim",I424=""),"Traciona hoje sem próximo passo",IF(AND(O424&lt;&gt;"",O424&gt;=14),"Parada há 14 dias ou mais",IF(AND(M424="Sim",O424&lt;&gt;"",O424&gt;=7),"Agarrada há 7 dias, escalar",IF(AND(I424&lt;&gt;"",J424=""),"Próximo passo sem data",""))))))</f>
        <v/>
      </c>
    </row>
    <row r="425" customFormat="false" ht="15" hidden="false" customHeight="false" outlineLevel="0" collapsed="false">
      <c r="A425" s="21"/>
      <c r="B425" s="17"/>
      <c r="C425" s="17"/>
      <c r="D425" s="19"/>
      <c r="E425" s="20"/>
      <c r="F425" s="20"/>
      <c r="G425" s="20"/>
      <c r="H425" s="20"/>
      <c r="I425" s="17"/>
      <c r="J425" s="21"/>
      <c r="K425" s="20"/>
      <c r="L425" s="17"/>
      <c r="M425" s="20"/>
      <c r="N425" s="20"/>
      <c r="O425" s="17"/>
      <c r="P425" s="22" t="str">
        <f aca="false">IF(C425="","",IF(AND(M425="Sim",N425=""),"Agarrada sem motivo declarado",IF(AND(H425="Sim",I425=""),"Traciona hoje sem próximo passo",IF(AND(O425&lt;&gt;"",O425&gt;=14),"Parada há 14 dias ou mais",IF(AND(M425="Sim",O425&lt;&gt;"",O425&gt;=7),"Agarrada há 7 dias, escalar",IF(AND(I425&lt;&gt;"",J425=""),"Próximo passo sem data",""))))))</f>
        <v/>
      </c>
    </row>
    <row r="426" customFormat="false" ht="15" hidden="false" customHeight="false" outlineLevel="0" collapsed="false">
      <c r="A426" s="21"/>
      <c r="B426" s="17"/>
      <c r="C426" s="17"/>
      <c r="D426" s="19"/>
      <c r="E426" s="20"/>
      <c r="F426" s="20"/>
      <c r="G426" s="20"/>
      <c r="H426" s="20"/>
      <c r="I426" s="17"/>
      <c r="J426" s="21"/>
      <c r="K426" s="20"/>
      <c r="L426" s="17"/>
      <c r="M426" s="20"/>
      <c r="N426" s="20"/>
      <c r="O426" s="17"/>
      <c r="P426" s="22" t="str">
        <f aca="false">IF(C426="","",IF(AND(M426="Sim",N426=""),"Agarrada sem motivo declarado",IF(AND(H426="Sim",I426=""),"Traciona hoje sem próximo passo",IF(AND(O426&lt;&gt;"",O426&gt;=14),"Parada há 14 dias ou mais",IF(AND(M426="Sim",O426&lt;&gt;"",O426&gt;=7),"Agarrada há 7 dias, escalar",IF(AND(I426&lt;&gt;"",J426=""),"Próximo passo sem data",""))))))</f>
        <v/>
      </c>
    </row>
    <row r="427" customFormat="false" ht="15" hidden="false" customHeight="false" outlineLevel="0" collapsed="false">
      <c r="A427" s="21"/>
      <c r="B427" s="17"/>
      <c r="C427" s="17"/>
      <c r="D427" s="19"/>
      <c r="E427" s="20"/>
      <c r="F427" s="20"/>
      <c r="G427" s="20"/>
      <c r="H427" s="20"/>
      <c r="I427" s="17"/>
      <c r="J427" s="21"/>
      <c r="K427" s="20"/>
      <c r="L427" s="17"/>
      <c r="M427" s="20"/>
      <c r="N427" s="20"/>
      <c r="O427" s="17"/>
      <c r="P427" s="22" t="str">
        <f aca="false">IF(C427="","",IF(AND(M427="Sim",N427=""),"Agarrada sem motivo declarado",IF(AND(H427="Sim",I427=""),"Traciona hoje sem próximo passo",IF(AND(O427&lt;&gt;"",O427&gt;=14),"Parada há 14 dias ou mais",IF(AND(M427="Sim",O427&lt;&gt;"",O427&gt;=7),"Agarrada há 7 dias, escalar",IF(AND(I427&lt;&gt;"",J427=""),"Próximo passo sem data",""))))))</f>
        <v/>
      </c>
    </row>
    <row r="428" customFormat="false" ht="15" hidden="false" customHeight="false" outlineLevel="0" collapsed="false">
      <c r="A428" s="21"/>
      <c r="B428" s="17"/>
      <c r="C428" s="17"/>
      <c r="D428" s="19"/>
      <c r="E428" s="20"/>
      <c r="F428" s="20"/>
      <c r="G428" s="20"/>
      <c r="H428" s="20"/>
      <c r="I428" s="17"/>
      <c r="J428" s="21"/>
      <c r="K428" s="20"/>
      <c r="L428" s="17"/>
      <c r="M428" s="20"/>
      <c r="N428" s="20"/>
      <c r="O428" s="17"/>
      <c r="P428" s="22" t="str">
        <f aca="false">IF(C428="","",IF(AND(M428="Sim",N428=""),"Agarrada sem motivo declarado",IF(AND(H428="Sim",I428=""),"Traciona hoje sem próximo passo",IF(AND(O428&lt;&gt;"",O428&gt;=14),"Parada há 14 dias ou mais",IF(AND(M428="Sim",O428&lt;&gt;"",O428&gt;=7),"Agarrada há 7 dias, escalar",IF(AND(I428&lt;&gt;"",J428=""),"Próximo passo sem data",""))))))</f>
        <v/>
      </c>
    </row>
    <row r="429" customFormat="false" ht="15" hidden="false" customHeight="false" outlineLevel="0" collapsed="false">
      <c r="A429" s="21"/>
      <c r="B429" s="17"/>
      <c r="C429" s="17"/>
      <c r="D429" s="19"/>
      <c r="E429" s="20"/>
      <c r="F429" s="20"/>
      <c r="G429" s="20"/>
      <c r="H429" s="20"/>
      <c r="I429" s="17"/>
      <c r="J429" s="21"/>
      <c r="K429" s="20"/>
      <c r="L429" s="17"/>
      <c r="M429" s="20"/>
      <c r="N429" s="20"/>
      <c r="O429" s="17"/>
      <c r="P429" s="22" t="str">
        <f aca="false">IF(C429="","",IF(AND(M429="Sim",N429=""),"Agarrada sem motivo declarado",IF(AND(H429="Sim",I429=""),"Traciona hoje sem próximo passo",IF(AND(O429&lt;&gt;"",O429&gt;=14),"Parada há 14 dias ou mais",IF(AND(M429="Sim",O429&lt;&gt;"",O429&gt;=7),"Agarrada há 7 dias, escalar",IF(AND(I429&lt;&gt;"",J429=""),"Próximo passo sem data",""))))))</f>
        <v/>
      </c>
    </row>
    <row r="430" customFormat="false" ht="15" hidden="false" customHeight="false" outlineLevel="0" collapsed="false">
      <c r="A430" s="21"/>
      <c r="B430" s="17"/>
      <c r="C430" s="17"/>
      <c r="D430" s="19"/>
      <c r="E430" s="20"/>
      <c r="F430" s="20"/>
      <c r="G430" s="20"/>
      <c r="H430" s="20"/>
      <c r="I430" s="17"/>
      <c r="J430" s="21"/>
      <c r="K430" s="20"/>
      <c r="L430" s="17"/>
      <c r="M430" s="20"/>
      <c r="N430" s="20"/>
      <c r="O430" s="17"/>
      <c r="P430" s="22" t="str">
        <f aca="false">IF(C430="","",IF(AND(M430="Sim",N430=""),"Agarrada sem motivo declarado",IF(AND(H430="Sim",I430=""),"Traciona hoje sem próximo passo",IF(AND(O430&lt;&gt;"",O430&gt;=14),"Parada há 14 dias ou mais",IF(AND(M430="Sim",O430&lt;&gt;"",O430&gt;=7),"Agarrada há 7 dias, escalar",IF(AND(I430&lt;&gt;"",J430=""),"Próximo passo sem data",""))))))</f>
        <v/>
      </c>
    </row>
    <row r="431" customFormat="false" ht="15" hidden="false" customHeight="false" outlineLevel="0" collapsed="false">
      <c r="A431" s="21"/>
      <c r="B431" s="17"/>
      <c r="C431" s="17"/>
      <c r="D431" s="19"/>
      <c r="E431" s="20"/>
      <c r="F431" s="20"/>
      <c r="G431" s="20"/>
      <c r="H431" s="20"/>
      <c r="I431" s="17"/>
      <c r="J431" s="21"/>
      <c r="K431" s="20"/>
      <c r="L431" s="17"/>
      <c r="M431" s="20"/>
      <c r="N431" s="20"/>
      <c r="O431" s="17"/>
      <c r="P431" s="22" t="str">
        <f aca="false">IF(C431="","",IF(AND(M431="Sim",N431=""),"Agarrada sem motivo declarado",IF(AND(H431="Sim",I431=""),"Traciona hoje sem próximo passo",IF(AND(O431&lt;&gt;"",O431&gt;=14),"Parada há 14 dias ou mais",IF(AND(M431="Sim",O431&lt;&gt;"",O431&gt;=7),"Agarrada há 7 dias, escalar",IF(AND(I431&lt;&gt;"",J431=""),"Próximo passo sem data",""))))))</f>
        <v/>
      </c>
    </row>
    <row r="432" customFormat="false" ht="15" hidden="false" customHeight="false" outlineLevel="0" collapsed="false">
      <c r="A432" s="21"/>
      <c r="B432" s="17"/>
      <c r="C432" s="17"/>
      <c r="D432" s="19"/>
      <c r="E432" s="20"/>
      <c r="F432" s="20"/>
      <c r="G432" s="20"/>
      <c r="H432" s="20"/>
      <c r="I432" s="17"/>
      <c r="J432" s="21"/>
      <c r="K432" s="20"/>
      <c r="L432" s="17"/>
      <c r="M432" s="20"/>
      <c r="N432" s="20"/>
      <c r="O432" s="17"/>
      <c r="P432" s="22" t="str">
        <f aca="false">IF(C432="","",IF(AND(M432="Sim",N432=""),"Agarrada sem motivo declarado",IF(AND(H432="Sim",I432=""),"Traciona hoje sem próximo passo",IF(AND(O432&lt;&gt;"",O432&gt;=14),"Parada há 14 dias ou mais",IF(AND(M432="Sim",O432&lt;&gt;"",O432&gt;=7),"Agarrada há 7 dias, escalar",IF(AND(I432&lt;&gt;"",J432=""),"Próximo passo sem data",""))))))</f>
        <v/>
      </c>
    </row>
    <row r="433" customFormat="false" ht="15" hidden="false" customHeight="false" outlineLevel="0" collapsed="false">
      <c r="A433" s="21"/>
      <c r="B433" s="17"/>
      <c r="C433" s="17"/>
      <c r="D433" s="19"/>
      <c r="E433" s="20"/>
      <c r="F433" s="20"/>
      <c r="G433" s="20"/>
      <c r="H433" s="20"/>
      <c r="I433" s="17"/>
      <c r="J433" s="21"/>
      <c r="K433" s="20"/>
      <c r="L433" s="17"/>
      <c r="M433" s="20"/>
      <c r="N433" s="20"/>
      <c r="O433" s="17"/>
      <c r="P433" s="22" t="str">
        <f aca="false">IF(C433="","",IF(AND(M433="Sim",N433=""),"Agarrada sem motivo declarado",IF(AND(H433="Sim",I433=""),"Traciona hoje sem próximo passo",IF(AND(O433&lt;&gt;"",O433&gt;=14),"Parada há 14 dias ou mais",IF(AND(M433="Sim",O433&lt;&gt;"",O433&gt;=7),"Agarrada há 7 dias, escalar",IF(AND(I433&lt;&gt;"",J433=""),"Próximo passo sem data",""))))))</f>
        <v/>
      </c>
    </row>
    <row r="434" customFormat="false" ht="15" hidden="false" customHeight="false" outlineLevel="0" collapsed="false">
      <c r="A434" s="21"/>
      <c r="B434" s="17"/>
      <c r="C434" s="17"/>
      <c r="D434" s="19"/>
      <c r="E434" s="20"/>
      <c r="F434" s="20"/>
      <c r="G434" s="20"/>
      <c r="H434" s="20"/>
      <c r="I434" s="17"/>
      <c r="J434" s="21"/>
      <c r="K434" s="20"/>
      <c r="L434" s="17"/>
      <c r="M434" s="20"/>
      <c r="N434" s="20"/>
      <c r="O434" s="17"/>
      <c r="P434" s="22" t="str">
        <f aca="false">IF(C434="","",IF(AND(M434="Sim",N434=""),"Agarrada sem motivo declarado",IF(AND(H434="Sim",I434=""),"Traciona hoje sem próximo passo",IF(AND(O434&lt;&gt;"",O434&gt;=14),"Parada há 14 dias ou mais",IF(AND(M434="Sim",O434&lt;&gt;"",O434&gt;=7),"Agarrada há 7 dias, escalar",IF(AND(I434&lt;&gt;"",J434=""),"Próximo passo sem data",""))))))</f>
        <v/>
      </c>
    </row>
    <row r="435" customFormat="false" ht="15" hidden="false" customHeight="false" outlineLevel="0" collapsed="false">
      <c r="A435" s="21"/>
      <c r="B435" s="17"/>
      <c r="C435" s="17"/>
      <c r="D435" s="19"/>
      <c r="E435" s="20"/>
      <c r="F435" s="20"/>
      <c r="G435" s="20"/>
      <c r="H435" s="20"/>
      <c r="I435" s="17"/>
      <c r="J435" s="21"/>
      <c r="K435" s="20"/>
      <c r="L435" s="17"/>
      <c r="M435" s="20"/>
      <c r="N435" s="20"/>
      <c r="O435" s="17"/>
      <c r="P435" s="22" t="str">
        <f aca="false">IF(C435="","",IF(AND(M435="Sim",N435=""),"Agarrada sem motivo declarado",IF(AND(H435="Sim",I435=""),"Traciona hoje sem próximo passo",IF(AND(O435&lt;&gt;"",O435&gt;=14),"Parada há 14 dias ou mais",IF(AND(M435="Sim",O435&lt;&gt;"",O435&gt;=7),"Agarrada há 7 dias, escalar",IF(AND(I435&lt;&gt;"",J435=""),"Próximo passo sem data",""))))))</f>
        <v/>
      </c>
    </row>
    <row r="436" customFormat="false" ht="15" hidden="false" customHeight="false" outlineLevel="0" collapsed="false">
      <c r="A436" s="21"/>
      <c r="B436" s="17"/>
      <c r="C436" s="17"/>
      <c r="D436" s="19"/>
      <c r="E436" s="20"/>
      <c r="F436" s="20"/>
      <c r="G436" s="20"/>
      <c r="H436" s="20"/>
      <c r="I436" s="17"/>
      <c r="J436" s="21"/>
      <c r="K436" s="20"/>
      <c r="L436" s="17"/>
      <c r="M436" s="20"/>
      <c r="N436" s="20"/>
      <c r="O436" s="17"/>
      <c r="P436" s="22" t="str">
        <f aca="false">IF(C436="","",IF(AND(M436="Sim",N436=""),"Agarrada sem motivo declarado",IF(AND(H436="Sim",I436=""),"Traciona hoje sem próximo passo",IF(AND(O436&lt;&gt;"",O436&gt;=14),"Parada há 14 dias ou mais",IF(AND(M436="Sim",O436&lt;&gt;"",O436&gt;=7),"Agarrada há 7 dias, escalar",IF(AND(I436&lt;&gt;"",J436=""),"Próximo passo sem data",""))))))</f>
        <v/>
      </c>
    </row>
    <row r="437" customFormat="false" ht="15" hidden="false" customHeight="false" outlineLevel="0" collapsed="false">
      <c r="A437" s="21"/>
      <c r="B437" s="17"/>
      <c r="C437" s="17"/>
      <c r="D437" s="19"/>
      <c r="E437" s="20"/>
      <c r="F437" s="20"/>
      <c r="G437" s="20"/>
      <c r="H437" s="20"/>
      <c r="I437" s="17"/>
      <c r="J437" s="21"/>
      <c r="K437" s="20"/>
      <c r="L437" s="17"/>
      <c r="M437" s="20"/>
      <c r="N437" s="20"/>
      <c r="O437" s="17"/>
      <c r="P437" s="22" t="str">
        <f aca="false">IF(C437="","",IF(AND(M437="Sim",N437=""),"Agarrada sem motivo declarado",IF(AND(H437="Sim",I437=""),"Traciona hoje sem próximo passo",IF(AND(O437&lt;&gt;"",O437&gt;=14),"Parada há 14 dias ou mais",IF(AND(M437="Sim",O437&lt;&gt;"",O437&gt;=7),"Agarrada há 7 dias, escalar",IF(AND(I437&lt;&gt;"",J437=""),"Próximo passo sem data",""))))))</f>
        <v/>
      </c>
    </row>
    <row r="438" customFormat="false" ht="15" hidden="false" customHeight="false" outlineLevel="0" collapsed="false">
      <c r="A438" s="21"/>
      <c r="B438" s="17"/>
      <c r="C438" s="17"/>
      <c r="D438" s="19"/>
      <c r="E438" s="20"/>
      <c r="F438" s="20"/>
      <c r="G438" s="20"/>
      <c r="H438" s="20"/>
      <c r="I438" s="17"/>
      <c r="J438" s="21"/>
      <c r="K438" s="20"/>
      <c r="L438" s="17"/>
      <c r="M438" s="20"/>
      <c r="N438" s="20"/>
      <c r="O438" s="17"/>
      <c r="P438" s="22" t="str">
        <f aca="false">IF(C438="","",IF(AND(M438="Sim",N438=""),"Agarrada sem motivo declarado",IF(AND(H438="Sim",I438=""),"Traciona hoje sem próximo passo",IF(AND(O438&lt;&gt;"",O438&gt;=14),"Parada há 14 dias ou mais",IF(AND(M438="Sim",O438&lt;&gt;"",O438&gt;=7),"Agarrada há 7 dias, escalar",IF(AND(I438&lt;&gt;"",J438=""),"Próximo passo sem data",""))))))</f>
        <v/>
      </c>
    </row>
    <row r="439" customFormat="false" ht="15" hidden="false" customHeight="false" outlineLevel="0" collapsed="false">
      <c r="A439" s="21"/>
      <c r="B439" s="17"/>
      <c r="C439" s="17"/>
      <c r="D439" s="19"/>
      <c r="E439" s="20"/>
      <c r="F439" s="20"/>
      <c r="G439" s="20"/>
      <c r="H439" s="20"/>
      <c r="I439" s="17"/>
      <c r="J439" s="21"/>
      <c r="K439" s="20"/>
      <c r="L439" s="17"/>
      <c r="M439" s="20"/>
      <c r="N439" s="20"/>
      <c r="O439" s="17"/>
      <c r="P439" s="22" t="str">
        <f aca="false">IF(C439="","",IF(AND(M439="Sim",N439=""),"Agarrada sem motivo declarado",IF(AND(H439="Sim",I439=""),"Traciona hoje sem próximo passo",IF(AND(O439&lt;&gt;"",O439&gt;=14),"Parada há 14 dias ou mais",IF(AND(M439="Sim",O439&lt;&gt;"",O439&gt;=7),"Agarrada há 7 dias, escalar",IF(AND(I439&lt;&gt;"",J439=""),"Próximo passo sem data",""))))))</f>
        <v/>
      </c>
    </row>
    <row r="440" customFormat="false" ht="15" hidden="false" customHeight="false" outlineLevel="0" collapsed="false">
      <c r="A440" s="21"/>
      <c r="B440" s="17"/>
      <c r="C440" s="17"/>
      <c r="D440" s="19"/>
      <c r="E440" s="20"/>
      <c r="F440" s="20"/>
      <c r="G440" s="20"/>
      <c r="H440" s="20"/>
      <c r="I440" s="17"/>
      <c r="J440" s="21"/>
      <c r="K440" s="20"/>
      <c r="L440" s="17"/>
      <c r="M440" s="20"/>
      <c r="N440" s="20"/>
      <c r="O440" s="17"/>
      <c r="P440" s="22" t="str">
        <f aca="false">IF(C440="","",IF(AND(M440="Sim",N440=""),"Agarrada sem motivo declarado",IF(AND(H440="Sim",I440=""),"Traciona hoje sem próximo passo",IF(AND(O440&lt;&gt;"",O440&gt;=14),"Parada há 14 dias ou mais",IF(AND(M440="Sim",O440&lt;&gt;"",O440&gt;=7),"Agarrada há 7 dias, escalar",IF(AND(I440&lt;&gt;"",J440=""),"Próximo passo sem data",""))))))</f>
        <v/>
      </c>
    </row>
    <row r="441" customFormat="false" ht="15" hidden="false" customHeight="false" outlineLevel="0" collapsed="false">
      <c r="A441" s="21"/>
      <c r="B441" s="17"/>
      <c r="C441" s="17"/>
      <c r="D441" s="19"/>
      <c r="E441" s="20"/>
      <c r="F441" s="20"/>
      <c r="G441" s="20"/>
      <c r="H441" s="20"/>
      <c r="I441" s="17"/>
      <c r="J441" s="21"/>
      <c r="K441" s="20"/>
      <c r="L441" s="17"/>
      <c r="M441" s="20"/>
      <c r="N441" s="20"/>
      <c r="O441" s="17"/>
      <c r="P441" s="22" t="str">
        <f aca="false">IF(C441="","",IF(AND(M441="Sim",N441=""),"Agarrada sem motivo declarado",IF(AND(H441="Sim",I441=""),"Traciona hoje sem próximo passo",IF(AND(O441&lt;&gt;"",O441&gt;=14),"Parada há 14 dias ou mais",IF(AND(M441="Sim",O441&lt;&gt;"",O441&gt;=7),"Agarrada há 7 dias, escalar",IF(AND(I441&lt;&gt;"",J441=""),"Próximo passo sem data",""))))))</f>
        <v/>
      </c>
    </row>
    <row r="442" customFormat="false" ht="15" hidden="false" customHeight="false" outlineLevel="0" collapsed="false">
      <c r="A442" s="21"/>
      <c r="B442" s="17"/>
      <c r="C442" s="17"/>
      <c r="D442" s="19"/>
      <c r="E442" s="20"/>
      <c r="F442" s="20"/>
      <c r="G442" s="20"/>
      <c r="H442" s="20"/>
      <c r="I442" s="17"/>
      <c r="J442" s="21"/>
      <c r="K442" s="20"/>
      <c r="L442" s="17"/>
      <c r="M442" s="20"/>
      <c r="N442" s="20"/>
      <c r="O442" s="17"/>
      <c r="P442" s="22" t="str">
        <f aca="false">IF(C442="","",IF(AND(M442="Sim",N442=""),"Agarrada sem motivo declarado",IF(AND(H442="Sim",I442=""),"Traciona hoje sem próximo passo",IF(AND(O442&lt;&gt;"",O442&gt;=14),"Parada há 14 dias ou mais",IF(AND(M442="Sim",O442&lt;&gt;"",O442&gt;=7),"Agarrada há 7 dias, escalar",IF(AND(I442&lt;&gt;"",J442=""),"Próximo passo sem data",""))))))</f>
        <v/>
      </c>
    </row>
    <row r="443" customFormat="false" ht="15" hidden="false" customHeight="false" outlineLevel="0" collapsed="false">
      <c r="A443" s="21"/>
      <c r="B443" s="17"/>
      <c r="C443" s="17"/>
      <c r="D443" s="19"/>
      <c r="E443" s="20"/>
      <c r="F443" s="20"/>
      <c r="G443" s="20"/>
      <c r="H443" s="20"/>
      <c r="I443" s="17"/>
      <c r="J443" s="21"/>
      <c r="K443" s="20"/>
      <c r="L443" s="17"/>
      <c r="M443" s="20"/>
      <c r="N443" s="20"/>
      <c r="O443" s="17"/>
      <c r="P443" s="22" t="str">
        <f aca="false">IF(C443="","",IF(AND(M443="Sim",N443=""),"Agarrada sem motivo declarado",IF(AND(H443="Sim",I443=""),"Traciona hoje sem próximo passo",IF(AND(O443&lt;&gt;"",O443&gt;=14),"Parada há 14 dias ou mais",IF(AND(M443="Sim",O443&lt;&gt;"",O443&gt;=7),"Agarrada há 7 dias, escalar",IF(AND(I443&lt;&gt;"",J443=""),"Próximo passo sem data",""))))))</f>
        <v/>
      </c>
    </row>
    <row r="444" customFormat="false" ht="15" hidden="false" customHeight="false" outlineLevel="0" collapsed="false">
      <c r="A444" s="21"/>
      <c r="B444" s="17"/>
      <c r="C444" s="17"/>
      <c r="D444" s="19"/>
      <c r="E444" s="20"/>
      <c r="F444" s="20"/>
      <c r="G444" s="20"/>
      <c r="H444" s="20"/>
      <c r="I444" s="17"/>
      <c r="J444" s="21"/>
      <c r="K444" s="20"/>
      <c r="L444" s="17"/>
      <c r="M444" s="20"/>
      <c r="N444" s="20"/>
      <c r="O444" s="17"/>
      <c r="P444" s="22" t="str">
        <f aca="false">IF(C444="","",IF(AND(M444="Sim",N444=""),"Agarrada sem motivo declarado",IF(AND(H444="Sim",I444=""),"Traciona hoje sem próximo passo",IF(AND(O444&lt;&gt;"",O444&gt;=14),"Parada há 14 dias ou mais",IF(AND(M444="Sim",O444&lt;&gt;"",O444&gt;=7),"Agarrada há 7 dias, escalar",IF(AND(I444&lt;&gt;"",J444=""),"Próximo passo sem data",""))))))</f>
        <v/>
      </c>
    </row>
    <row r="445" customFormat="false" ht="15" hidden="false" customHeight="false" outlineLevel="0" collapsed="false">
      <c r="A445" s="21"/>
      <c r="B445" s="17"/>
      <c r="C445" s="17"/>
      <c r="D445" s="19"/>
      <c r="E445" s="20"/>
      <c r="F445" s="20"/>
      <c r="G445" s="20"/>
      <c r="H445" s="20"/>
      <c r="I445" s="17"/>
      <c r="J445" s="21"/>
      <c r="K445" s="20"/>
      <c r="L445" s="17"/>
      <c r="M445" s="20"/>
      <c r="N445" s="20"/>
      <c r="O445" s="17"/>
      <c r="P445" s="22" t="str">
        <f aca="false">IF(C445="","",IF(AND(M445="Sim",N445=""),"Agarrada sem motivo declarado",IF(AND(H445="Sim",I445=""),"Traciona hoje sem próximo passo",IF(AND(O445&lt;&gt;"",O445&gt;=14),"Parada há 14 dias ou mais",IF(AND(M445="Sim",O445&lt;&gt;"",O445&gt;=7),"Agarrada há 7 dias, escalar",IF(AND(I445&lt;&gt;"",J445=""),"Próximo passo sem data",""))))))</f>
        <v/>
      </c>
    </row>
    <row r="446" customFormat="false" ht="15" hidden="false" customHeight="false" outlineLevel="0" collapsed="false">
      <c r="A446" s="21"/>
      <c r="B446" s="17"/>
      <c r="C446" s="17"/>
      <c r="D446" s="19"/>
      <c r="E446" s="20"/>
      <c r="F446" s="20"/>
      <c r="G446" s="20"/>
      <c r="H446" s="20"/>
      <c r="I446" s="17"/>
      <c r="J446" s="21"/>
      <c r="K446" s="20"/>
      <c r="L446" s="17"/>
      <c r="M446" s="20"/>
      <c r="N446" s="20"/>
      <c r="O446" s="17"/>
      <c r="P446" s="22" t="str">
        <f aca="false">IF(C446="","",IF(AND(M446="Sim",N446=""),"Agarrada sem motivo declarado",IF(AND(H446="Sim",I446=""),"Traciona hoje sem próximo passo",IF(AND(O446&lt;&gt;"",O446&gt;=14),"Parada há 14 dias ou mais",IF(AND(M446="Sim",O446&lt;&gt;"",O446&gt;=7),"Agarrada há 7 dias, escalar",IF(AND(I446&lt;&gt;"",J446=""),"Próximo passo sem data",""))))))</f>
        <v/>
      </c>
    </row>
    <row r="447" customFormat="false" ht="15" hidden="false" customHeight="false" outlineLevel="0" collapsed="false">
      <c r="A447" s="21"/>
      <c r="B447" s="17"/>
      <c r="C447" s="17"/>
      <c r="D447" s="19"/>
      <c r="E447" s="20"/>
      <c r="F447" s="20"/>
      <c r="G447" s="20"/>
      <c r="H447" s="20"/>
      <c r="I447" s="17"/>
      <c r="J447" s="21"/>
      <c r="K447" s="20"/>
      <c r="L447" s="17"/>
      <c r="M447" s="20"/>
      <c r="N447" s="20"/>
      <c r="O447" s="17"/>
      <c r="P447" s="22" t="str">
        <f aca="false">IF(C447="","",IF(AND(M447="Sim",N447=""),"Agarrada sem motivo declarado",IF(AND(H447="Sim",I447=""),"Traciona hoje sem próximo passo",IF(AND(O447&lt;&gt;"",O447&gt;=14),"Parada há 14 dias ou mais",IF(AND(M447="Sim",O447&lt;&gt;"",O447&gt;=7),"Agarrada há 7 dias, escalar",IF(AND(I447&lt;&gt;"",J447=""),"Próximo passo sem data",""))))))</f>
        <v/>
      </c>
    </row>
    <row r="448" customFormat="false" ht="15" hidden="false" customHeight="false" outlineLevel="0" collapsed="false">
      <c r="A448" s="21"/>
      <c r="B448" s="17"/>
      <c r="C448" s="17"/>
      <c r="D448" s="19"/>
      <c r="E448" s="20"/>
      <c r="F448" s="20"/>
      <c r="G448" s="20"/>
      <c r="H448" s="20"/>
      <c r="I448" s="17"/>
      <c r="J448" s="21"/>
      <c r="K448" s="20"/>
      <c r="L448" s="17"/>
      <c r="M448" s="20"/>
      <c r="N448" s="20"/>
      <c r="O448" s="17"/>
      <c r="P448" s="22" t="str">
        <f aca="false">IF(C448="","",IF(AND(M448="Sim",N448=""),"Agarrada sem motivo declarado",IF(AND(H448="Sim",I448=""),"Traciona hoje sem próximo passo",IF(AND(O448&lt;&gt;"",O448&gt;=14),"Parada há 14 dias ou mais",IF(AND(M448="Sim",O448&lt;&gt;"",O448&gt;=7),"Agarrada há 7 dias, escalar",IF(AND(I448&lt;&gt;"",J448=""),"Próximo passo sem data",""))))))</f>
        <v/>
      </c>
    </row>
    <row r="449" customFormat="false" ht="15" hidden="false" customHeight="false" outlineLevel="0" collapsed="false">
      <c r="A449" s="21"/>
      <c r="B449" s="17"/>
      <c r="C449" s="17"/>
      <c r="D449" s="19"/>
      <c r="E449" s="20"/>
      <c r="F449" s="20"/>
      <c r="G449" s="20"/>
      <c r="H449" s="20"/>
      <c r="I449" s="17"/>
      <c r="J449" s="21"/>
      <c r="K449" s="20"/>
      <c r="L449" s="17"/>
      <c r="M449" s="20"/>
      <c r="N449" s="20"/>
      <c r="O449" s="17"/>
      <c r="P449" s="22" t="str">
        <f aca="false">IF(C449="","",IF(AND(M449="Sim",N449=""),"Agarrada sem motivo declarado",IF(AND(H449="Sim",I449=""),"Traciona hoje sem próximo passo",IF(AND(O449&lt;&gt;"",O449&gt;=14),"Parada há 14 dias ou mais",IF(AND(M449="Sim",O449&lt;&gt;"",O449&gt;=7),"Agarrada há 7 dias, escalar",IF(AND(I449&lt;&gt;"",J449=""),"Próximo passo sem data",""))))))</f>
        <v/>
      </c>
    </row>
    <row r="450" customFormat="false" ht="15" hidden="false" customHeight="false" outlineLevel="0" collapsed="false">
      <c r="A450" s="21"/>
      <c r="B450" s="17"/>
      <c r="C450" s="17"/>
      <c r="D450" s="19"/>
      <c r="E450" s="20"/>
      <c r="F450" s="20"/>
      <c r="G450" s="20"/>
      <c r="H450" s="20"/>
      <c r="I450" s="17"/>
      <c r="J450" s="21"/>
      <c r="K450" s="20"/>
      <c r="L450" s="17"/>
      <c r="M450" s="20"/>
      <c r="N450" s="20"/>
      <c r="O450" s="17"/>
      <c r="P450" s="22" t="str">
        <f aca="false">IF(C450="","",IF(AND(M450="Sim",N450=""),"Agarrada sem motivo declarado",IF(AND(H450="Sim",I450=""),"Traciona hoje sem próximo passo",IF(AND(O450&lt;&gt;"",O450&gt;=14),"Parada há 14 dias ou mais",IF(AND(M450="Sim",O450&lt;&gt;"",O450&gt;=7),"Agarrada há 7 dias, escalar",IF(AND(I450&lt;&gt;"",J450=""),"Próximo passo sem data",""))))))</f>
        <v/>
      </c>
    </row>
    <row r="451" customFormat="false" ht="15" hidden="false" customHeight="false" outlineLevel="0" collapsed="false">
      <c r="A451" s="21"/>
      <c r="B451" s="17"/>
      <c r="C451" s="17"/>
      <c r="D451" s="19"/>
      <c r="E451" s="20"/>
      <c r="F451" s="20"/>
      <c r="G451" s="20"/>
      <c r="H451" s="20"/>
      <c r="I451" s="17"/>
      <c r="J451" s="21"/>
      <c r="K451" s="20"/>
      <c r="L451" s="17"/>
      <c r="M451" s="20"/>
      <c r="N451" s="20"/>
      <c r="O451" s="17"/>
      <c r="P451" s="22" t="str">
        <f aca="false">IF(C451="","",IF(AND(M451="Sim",N451=""),"Agarrada sem motivo declarado",IF(AND(H451="Sim",I451=""),"Traciona hoje sem próximo passo",IF(AND(O451&lt;&gt;"",O451&gt;=14),"Parada há 14 dias ou mais",IF(AND(M451="Sim",O451&lt;&gt;"",O451&gt;=7),"Agarrada há 7 dias, escalar",IF(AND(I451&lt;&gt;"",J451=""),"Próximo passo sem data",""))))))</f>
        <v/>
      </c>
    </row>
    <row r="452" customFormat="false" ht="15" hidden="false" customHeight="false" outlineLevel="0" collapsed="false">
      <c r="A452" s="21"/>
      <c r="B452" s="17"/>
      <c r="C452" s="17"/>
      <c r="D452" s="19"/>
      <c r="E452" s="20"/>
      <c r="F452" s="20"/>
      <c r="G452" s="20"/>
      <c r="H452" s="20"/>
      <c r="I452" s="17"/>
      <c r="J452" s="21"/>
      <c r="K452" s="20"/>
      <c r="L452" s="17"/>
      <c r="M452" s="20"/>
      <c r="N452" s="20"/>
      <c r="O452" s="17"/>
      <c r="P452" s="22" t="str">
        <f aca="false">IF(C452="","",IF(AND(M452="Sim",N452=""),"Agarrada sem motivo declarado",IF(AND(H452="Sim",I452=""),"Traciona hoje sem próximo passo",IF(AND(O452&lt;&gt;"",O452&gt;=14),"Parada há 14 dias ou mais",IF(AND(M452="Sim",O452&lt;&gt;"",O452&gt;=7),"Agarrada há 7 dias, escalar",IF(AND(I452&lt;&gt;"",J452=""),"Próximo passo sem data",""))))))</f>
        <v/>
      </c>
    </row>
    <row r="453" customFormat="false" ht="15" hidden="false" customHeight="false" outlineLevel="0" collapsed="false">
      <c r="A453" s="21"/>
      <c r="B453" s="17"/>
      <c r="C453" s="17"/>
      <c r="D453" s="19"/>
      <c r="E453" s="20"/>
      <c r="F453" s="20"/>
      <c r="G453" s="20"/>
      <c r="H453" s="20"/>
      <c r="I453" s="17"/>
      <c r="J453" s="21"/>
      <c r="K453" s="20"/>
      <c r="L453" s="17"/>
      <c r="M453" s="20"/>
      <c r="N453" s="20"/>
      <c r="O453" s="17"/>
      <c r="P453" s="22" t="str">
        <f aca="false">IF(C453="","",IF(AND(M453="Sim",N453=""),"Agarrada sem motivo declarado",IF(AND(H453="Sim",I453=""),"Traciona hoje sem próximo passo",IF(AND(O453&lt;&gt;"",O453&gt;=14),"Parada há 14 dias ou mais",IF(AND(M453="Sim",O453&lt;&gt;"",O453&gt;=7),"Agarrada há 7 dias, escalar",IF(AND(I453&lt;&gt;"",J453=""),"Próximo passo sem data",""))))))</f>
        <v/>
      </c>
    </row>
    <row r="454" customFormat="false" ht="15" hidden="false" customHeight="false" outlineLevel="0" collapsed="false">
      <c r="A454" s="21"/>
      <c r="B454" s="17"/>
      <c r="C454" s="17"/>
      <c r="D454" s="19"/>
      <c r="E454" s="20"/>
      <c r="F454" s="20"/>
      <c r="G454" s="20"/>
      <c r="H454" s="20"/>
      <c r="I454" s="17"/>
      <c r="J454" s="21"/>
      <c r="K454" s="20"/>
      <c r="L454" s="17"/>
      <c r="M454" s="20"/>
      <c r="N454" s="20"/>
      <c r="O454" s="17"/>
      <c r="P454" s="22" t="str">
        <f aca="false">IF(C454="","",IF(AND(M454="Sim",N454=""),"Agarrada sem motivo declarado",IF(AND(H454="Sim",I454=""),"Traciona hoje sem próximo passo",IF(AND(O454&lt;&gt;"",O454&gt;=14),"Parada há 14 dias ou mais",IF(AND(M454="Sim",O454&lt;&gt;"",O454&gt;=7),"Agarrada há 7 dias, escalar",IF(AND(I454&lt;&gt;"",J454=""),"Próximo passo sem data",""))))))</f>
        <v/>
      </c>
    </row>
    <row r="455" customFormat="false" ht="15" hidden="false" customHeight="false" outlineLevel="0" collapsed="false">
      <c r="A455" s="21"/>
      <c r="B455" s="17"/>
      <c r="C455" s="17"/>
      <c r="D455" s="19"/>
      <c r="E455" s="20"/>
      <c r="F455" s="20"/>
      <c r="G455" s="20"/>
      <c r="H455" s="20"/>
      <c r="I455" s="17"/>
      <c r="J455" s="21"/>
      <c r="K455" s="20"/>
      <c r="L455" s="17"/>
      <c r="M455" s="20"/>
      <c r="N455" s="20"/>
      <c r="O455" s="17"/>
      <c r="P455" s="22" t="str">
        <f aca="false">IF(C455="","",IF(AND(M455="Sim",N455=""),"Agarrada sem motivo declarado",IF(AND(H455="Sim",I455=""),"Traciona hoje sem próximo passo",IF(AND(O455&lt;&gt;"",O455&gt;=14),"Parada há 14 dias ou mais",IF(AND(M455="Sim",O455&lt;&gt;"",O455&gt;=7),"Agarrada há 7 dias, escalar",IF(AND(I455&lt;&gt;"",J455=""),"Próximo passo sem data",""))))))</f>
        <v/>
      </c>
    </row>
    <row r="456" customFormat="false" ht="15" hidden="false" customHeight="false" outlineLevel="0" collapsed="false">
      <c r="A456" s="21"/>
      <c r="B456" s="17"/>
      <c r="C456" s="17"/>
      <c r="D456" s="19"/>
      <c r="E456" s="20"/>
      <c r="F456" s="20"/>
      <c r="G456" s="20"/>
      <c r="H456" s="20"/>
      <c r="I456" s="17"/>
      <c r="J456" s="21"/>
      <c r="K456" s="20"/>
      <c r="L456" s="17"/>
      <c r="M456" s="20"/>
      <c r="N456" s="20"/>
      <c r="O456" s="17"/>
      <c r="P456" s="22" t="str">
        <f aca="false">IF(C456="","",IF(AND(M456="Sim",N456=""),"Agarrada sem motivo declarado",IF(AND(H456="Sim",I456=""),"Traciona hoje sem próximo passo",IF(AND(O456&lt;&gt;"",O456&gt;=14),"Parada há 14 dias ou mais",IF(AND(M456="Sim",O456&lt;&gt;"",O456&gt;=7),"Agarrada há 7 dias, escalar",IF(AND(I456&lt;&gt;"",J456=""),"Próximo passo sem data",""))))))</f>
        <v/>
      </c>
    </row>
    <row r="457" customFormat="false" ht="15" hidden="false" customHeight="false" outlineLevel="0" collapsed="false">
      <c r="A457" s="21"/>
      <c r="B457" s="17"/>
      <c r="C457" s="17"/>
      <c r="D457" s="19"/>
      <c r="E457" s="20"/>
      <c r="F457" s="20"/>
      <c r="G457" s="20"/>
      <c r="H457" s="20"/>
      <c r="I457" s="17"/>
      <c r="J457" s="21"/>
      <c r="K457" s="20"/>
      <c r="L457" s="17"/>
      <c r="M457" s="20"/>
      <c r="N457" s="20"/>
      <c r="O457" s="17"/>
      <c r="P457" s="22" t="str">
        <f aca="false">IF(C457="","",IF(AND(M457="Sim",N457=""),"Agarrada sem motivo declarado",IF(AND(H457="Sim",I457=""),"Traciona hoje sem próximo passo",IF(AND(O457&lt;&gt;"",O457&gt;=14),"Parada há 14 dias ou mais",IF(AND(M457="Sim",O457&lt;&gt;"",O457&gt;=7),"Agarrada há 7 dias, escalar",IF(AND(I457&lt;&gt;"",J457=""),"Próximo passo sem data",""))))))</f>
        <v/>
      </c>
    </row>
    <row r="458" customFormat="false" ht="15" hidden="false" customHeight="false" outlineLevel="0" collapsed="false">
      <c r="A458" s="21"/>
      <c r="B458" s="17"/>
      <c r="C458" s="17"/>
      <c r="D458" s="19"/>
      <c r="E458" s="20"/>
      <c r="F458" s="20"/>
      <c r="G458" s="20"/>
      <c r="H458" s="20"/>
      <c r="I458" s="17"/>
      <c r="J458" s="21"/>
      <c r="K458" s="20"/>
      <c r="L458" s="17"/>
      <c r="M458" s="20"/>
      <c r="N458" s="20"/>
      <c r="O458" s="17"/>
      <c r="P458" s="22" t="str">
        <f aca="false">IF(C458="","",IF(AND(M458="Sim",N458=""),"Agarrada sem motivo declarado",IF(AND(H458="Sim",I458=""),"Traciona hoje sem próximo passo",IF(AND(O458&lt;&gt;"",O458&gt;=14),"Parada há 14 dias ou mais",IF(AND(M458="Sim",O458&lt;&gt;"",O458&gt;=7),"Agarrada há 7 dias, escalar",IF(AND(I458&lt;&gt;"",J458=""),"Próximo passo sem data",""))))))</f>
        <v/>
      </c>
    </row>
    <row r="459" customFormat="false" ht="15" hidden="false" customHeight="false" outlineLevel="0" collapsed="false">
      <c r="A459" s="21"/>
      <c r="B459" s="17"/>
      <c r="C459" s="17"/>
      <c r="D459" s="19"/>
      <c r="E459" s="20"/>
      <c r="F459" s="20"/>
      <c r="G459" s="20"/>
      <c r="H459" s="20"/>
      <c r="I459" s="17"/>
      <c r="J459" s="21"/>
      <c r="K459" s="20"/>
      <c r="L459" s="17"/>
      <c r="M459" s="20"/>
      <c r="N459" s="20"/>
      <c r="O459" s="17"/>
      <c r="P459" s="22" t="str">
        <f aca="false">IF(C459="","",IF(AND(M459="Sim",N459=""),"Agarrada sem motivo declarado",IF(AND(H459="Sim",I459=""),"Traciona hoje sem próximo passo",IF(AND(O459&lt;&gt;"",O459&gt;=14),"Parada há 14 dias ou mais",IF(AND(M459="Sim",O459&lt;&gt;"",O459&gt;=7),"Agarrada há 7 dias, escalar",IF(AND(I459&lt;&gt;"",J459=""),"Próximo passo sem data",""))))))</f>
        <v/>
      </c>
    </row>
    <row r="460" customFormat="false" ht="15" hidden="false" customHeight="false" outlineLevel="0" collapsed="false">
      <c r="A460" s="21"/>
      <c r="B460" s="17"/>
      <c r="C460" s="17"/>
      <c r="D460" s="19"/>
      <c r="E460" s="20"/>
      <c r="F460" s="20"/>
      <c r="G460" s="20"/>
      <c r="H460" s="20"/>
      <c r="I460" s="17"/>
      <c r="J460" s="21"/>
      <c r="K460" s="20"/>
      <c r="L460" s="17"/>
      <c r="M460" s="20"/>
      <c r="N460" s="20"/>
      <c r="O460" s="17"/>
      <c r="P460" s="22" t="str">
        <f aca="false">IF(C460="","",IF(AND(M460="Sim",N460=""),"Agarrada sem motivo declarado",IF(AND(H460="Sim",I460=""),"Traciona hoje sem próximo passo",IF(AND(O460&lt;&gt;"",O460&gt;=14),"Parada há 14 dias ou mais",IF(AND(M460="Sim",O460&lt;&gt;"",O460&gt;=7),"Agarrada há 7 dias, escalar",IF(AND(I460&lt;&gt;"",J460=""),"Próximo passo sem data",""))))))</f>
        <v/>
      </c>
    </row>
    <row r="461" customFormat="false" ht="15" hidden="false" customHeight="false" outlineLevel="0" collapsed="false">
      <c r="A461" s="21"/>
      <c r="B461" s="17"/>
      <c r="C461" s="17"/>
      <c r="D461" s="19"/>
      <c r="E461" s="20"/>
      <c r="F461" s="20"/>
      <c r="G461" s="20"/>
      <c r="H461" s="20"/>
      <c r="I461" s="17"/>
      <c r="J461" s="21"/>
      <c r="K461" s="20"/>
      <c r="L461" s="17"/>
      <c r="M461" s="20"/>
      <c r="N461" s="20"/>
      <c r="O461" s="17"/>
      <c r="P461" s="22" t="str">
        <f aca="false">IF(C461="","",IF(AND(M461="Sim",N461=""),"Agarrada sem motivo declarado",IF(AND(H461="Sim",I461=""),"Traciona hoje sem próximo passo",IF(AND(O461&lt;&gt;"",O461&gt;=14),"Parada há 14 dias ou mais",IF(AND(M461="Sim",O461&lt;&gt;"",O461&gt;=7),"Agarrada há 7 dias, escalar",IF(AND(I461&lt;&gt;"",J461=""),"Próximo passo sem data",""))))))</f>
        <v/>
      </c>
    </row>
    <row r="462" customFormat="false" ht="15" hidden="false" customHeight="false" outlineLevel="0" collapsed="false">
      <c r="A462" s="21"/>
      <c r="B462" s="17"/>
      <c r="C462" s="17"/>
      <c r="D462" s="19"/>
      <c r="E462" s="20"/>
      <c r="F462" s="20"/>
      <c r="G462" s="20"/>
      <c r="H462" s="20"/>
      <c r="I462" s="17"/>
      <c r="J462" s="21"/>
      <c r="K462" s="20"/>
      <c r="L462" s="17"/>
      <c r="M462" s="20"/>
      <c r="N462" s="20"/>
      <c r="O462" s="17"/>
      <c r="P462" s="22" t="str">
        <f aca="false">IF(C462="","",IF(AND(M462="Sim",N462=""),"Agarrada sem motivo declarado",IF(AND(H462="Sim",I462=""),"Traciona hoje sem próximo passo",IF(AND(O462&lt;&gt;"",O462&gt;=14),"Parada há 14 dias ou mais",IF(AND(M462="Sim",O462&lt;&gt;"",O462&gt;=7),"Agarrada há 7 dias, escalar",IF(AND(I462&lt;&gt;"",J462=""),"Próximo passo sem data",""))))))</f>
        <v/>
      </c>
    </row>
    <row r="463" customFormat="false" ht="15" hidden="false" customHeight="false" outlineLevel="0" collapsed="false">
      <c r="A463" s="21"/>
      <c r="B463" s="17"/>
      <c r="C463" s="17"/>
      <c r="D463" s="19"/>
      <c r="E463" s="20"/>
      <c r="F463" s="20"/>
      <c r="G463" s="20"/>
      <c r="H463" s="20"/>
      <c r="I463" s="17"/>
      <c r="J463" s="21"/>
      <c r="K463" s="20"/>
      <c r="L463" s="17"/>
      <c r="M463" s="20"/>
      <c r="N463" s="20"/>
      <c r="O463" s="17"/>
      <c r="P463" s="22" t="str">
        <f aca="false">IF(C463="","",IF(AND(M463="Sim",N463=""),"Agarrada sem motivo declarado",IF(AND(H463="Sim",I463=""),"Traciona hoje sem próximo passo",IF(AND(O463&lt;&gt;"",O463&gt;=14),"Parada há 14 dias ou mais",IF(AND(M463="Sim",O463&lt;&gt;"",O463&gt;=7),"Agarrada há 7 dias, escalar",IF(AND(I463&lt;&gt;"",J463=""),"Próximo passo sem data",""))))))</f>
        <v/>
      </c>
    </row>
    <row r="464" customFormat="false" ht="15" hidden="false" customHeight="false" outlineLevel="0" collapsed="false">
      <c r="A464" s="21"/>
      <c r="B464" s="17"/>
      <c r="C464" s="17"/>
      <c r="D464" s="19"/>
      <c r="E464" s="20"/>
      <c r="F464" s="20"/>
      <c r="G464" s="20"/>
      <c r="H464" s="20"/>
      <c r="I464" s="17"/>
      <c r="J464" s="21"/>
      <c r="K464" s="20"/>
      <c r="L464" s="17"/>
      <c r="M464" s="20"/>
      <c r="N464" s="20"/>
      <c r="O464" s="17"/>
      <c r="P464" s="22" t="str">
        <f aca="false">IF(C464="","",IF(AND(M464="Sim",N464=""),"Agarrada sem motivo declarado",IF(AND(H464="Sim",I464=""),"Traciona hoje sem próximo passo",IF(AND(O464&lt;&gt;"",O464&gt;=14),"Parada há 14 dias ou mais",IF(AND(M464="Sim",O464&lt;&gt;"",O464&gt;=7),"Agarrada há 7 dias, escalar",IF(AND(I464&lt;&gt;"",J464=""),"Próximo passo sem data",""))))))</f>
        <v/>
      </c>
    </row>
    <row r="465" customFormat="false" ht="15" hidden="false" customHeight="false" outlineLevel="0" collapsed="false">
      <c r="A465" s="21"/>
      <c r="B465" s="17"/>
      <c r="C465" s="17"/>
      <c r="D465" s="19"/>
      <c r="E465" s="20"/>
      <c r="F465" s="20"/>
      <c r="G465" s="20"/>
      <c r="H465" s="20"/>
      <c r="I465" s="17"/>
      <c r="J465" s="21"/>
      <c r="K465" s="20"/>
      <c r="L465" s="17"/>
      <c r="M465" s="20"/>
      <c r="N465" s="20"/>
      <c r="O465" s="17"/>
      <c r="P465" s="22" t="str">
        <f aca="false">IF(C465="","",IF(AND(M465="Sim",N465=""),"Agarrada sem motivo declarado",IF(AND(H465="Sim",I465=""),"Traciona hoje sem próximo passo",IF(AND(O465&lt;&gt;"",O465&gt;=14),"Parada há 14 dias ou mais",IF(AND(M465="Sim",O465&lt;&gt;"",O465&gt;=7),"Agarrada há 7 dias, escalar",IF(AND(I465&lt;&gt;"",J465=""),"Próximo passo sem data",""))))))</f>
        <v/>
      </c>
    </row>
    <row r="466" customFormat="false" ht="15" hidden="false" customHeight="false" outlineLevel="0" collapsed="false">
      <c r="A466" s="21"/>
      <c r="B466" s="17"/>
      <c r="C466" s="17"/>
      <c r="D466" s="19"/>
      <c r="E466" s="20"/>
      <c r="F466" s="20"/>
      <c r="G466" s="20"/>
      <c r="H466" s="20"/>
      <c r="I466" s="17"/>
      <c r="J466" s="21"/>
      <c r="K466" s="20"/>
      <c r="L466" s="17"/>
      <c r="M466" s="20"/>
      <c r="N466" s="20"/>
      <c r="O466" s="17"/>
      <c r="P466" s="22" t="str">
        <f aca="false">IF(C466="","",IF(AND(M466="Sim",N466=""),"Agarrada sem motivo declarado",IF(AND(H466="Sim",I466=""),"Traciona hoje sem próximo passo",IF(AND(O466&lt;&gt;"",O466&gt;=14),"Parada há 14 dias ou mais",IF(AND(M466="Sim",O466&lt;&gt;"",O466&gt;=7),"Agarrada há 7 dias, escalar",IF(AND(I466&lt;&gt;"",J466=""),"Próximo passo sem data",""))))))</f>
        <v/>
      </c>
    </row>
    <row r="467" customFormat="false" ht="15" hidden="false" customHeight="false" outlineLevel="0" collapsed="false">
      <c r="A467" s="21"/>
      <c r="B467" s="17"/>
      <c r="C467" s="17"/>
      <c r="D467" s="19"/>
      <c r="E467" s="20"/>
      <c r="F467" s="20"/>
      <c r="G467" s="20"/>
      <c r="H467" s="20"/>
      <c r="I467" s="17"/>
      <c r="J467" s="21"/>
      <c r="K467" s="20"/>
      <c r="L467" s="17"/>
      <c r="M467" s="20"/>
      <c r="N467" s="20"/>
      <c r="O467" s="17"/>
      <c r="P467" s="22" t="str">
        <f aca="false">IF(C467="","",IF(AND(M467="Sim",N467=""),"Agarrada sem motivo declarado",IF(AND(H467="Sim",I467=""),"Traciona hoje sem próximo passo",IF(AND(O467&lt;&gt;"",O467&gt;=14),"Parada há 14 dias ou mais",IF(AND(M467="Sim",O467&lt;&gt;"",O467&gt;=7),"Agarrada há 7 dias, escalar",IF(AND(I467&lt;&gt;"",J467=""),"Próximo passo sem data",""))))))</f>
        <v/>
      </c>
    </row>
    <row r="468" customFormat="false" ht="15" hidden="false" customHeight="false" outlineLevel="0" collapsed="false">
      <c r="A468" s="21"/>
      <c r="B468" s="17"/>
      <c r="C468" s="17"/>
      <c r="D468" s="19"/>
      <c r="E468" s="20"/>
      <c r="F468" s="20"/>
      <c r="G468" s="20"/>
      <c r="H468" s="20"/>
      <c r="I468" s="17"/>
      <c r="J468" s="21"/>
      <c r="K468" s="20"/>
      <c r="L468" s="17"/>
      <c r="M468" s="20"/>
      <c r="N468" s="20"/>
      <c r="O468" s="17"/>
      <c r="P468" s="22" t="str">
        <f aca="false">IF(C468="","",IF(AND(M468="Sim",N468=""),"Agarrada sem motivo declarado",IF(AND(H468="Sim",I468=""),"Traciona hoje sem próximo passo",IF(AND(O468&lt;&gt;"",O468&gt;=14),"Parada há 14 dias ou mais",IF(AND(M468="Sim",O468&lt;&gt;"",O468&gt;=7),"Agarrada há 7 dias, escalar",IF(AND(I468&lt;&gt;"",J468=""),"Próximo passo sem data",""))))))</f>
        <v/>
      </c>
    </row>
    <row r="469" customFormat="false" ht="15" hidden="false" customHeight="false" outlineLevel="0" collapsed="false">
      <c r="A469" s="21"/>
      <c r="B469" s="17"/>
      <c r="C469" s="17"/>
      <c r="D469" s="19"/>
      <c r="E469" s="20"/>
      <c r="F469" s="20"/>
      <c r="G469" s="20"/>
      <c r="H469" s="20"/>
      <c r="I469" s="17"/>
      <c r="J469" s="21"/>
      <c r="K469" s="20"/>
      <c r="L469" s="17"/>
      <c r="M469" s="20"/>
      <c r="N469" s="20"/>
      <c r="O469" s="17"/>
      <c r="P469" s="22" t="str">
        <f aca="false">IF(C469="","",IF(AND(M469="Sim",N469=""),"Agarrada sem motivo declarado",IF(AND(H469="Sim",I469=""),"Traciona hoje sem próximo passo",IF(AND(O469&lt;&gt;"",O469&gt;=14),"Parada há 14 dias ou mais",IF(AND(M469="Sim",O469&lt;&gt;"",O469&gt;=7),"Agarrada há 7 dias, escalar",IF(AND(I469&lt;&gt;"",J469=""),"Próximo passo sem data",""))))))</f>
        <v/>
      </c>
    </row>
    <row r="470" customFormat="false" ht="15" hidden="false" customHeight="false" outlineLevel="0" collapsed="false">
      <c r="A470" s="21"/>
      <c r="B470" s="17"/>
      <c r="C470" s="17"/>
      <c r="D470" s="19"/>
      <c r="E470" s="20"/>
      <c r="F470" s="20"/>
      <c r="G470" s="20"/>
      <c r="H470" s="20"/>
      <c r="I470" s="17"/>
      <c r="J470" s="21"/>
      <c r="K470" s="20"/>
      <c r="L470" s="17"/>
      <c r="M470" s="20"/>
      <c r="N470" s="20"/>
      <c r="O470" s="17"/>
      <c r="P470" s="22" t="str">
        <f aca="false">IF(C470="","",IF(AND(M470="Sim",N470=""),"Agarrada sem motivo declarado",IF(AND(H470="Sim",I470=""),"Traciona hoje sem próximo passo",IF(AND(O470&lt;&gt;"",O470&gt;=14),"Parada há 14 dias ou mais",IF(AND(M470="Sim",O470&lt;&gt;"",O470&gt;=7),"Agarrada há 7 dias, escalar",IF(AND(I470&lt;&gt;"",J470=""),"Próximo passo sem data",""))))))</f>
        <v/>
      </c>
    </row>
    <row r="471" customFormat="false" ht="15" hidden="false" customHeight="false" outlineLevel="0" collapsed="false">
      <c r="A471" s="21"/>
      <c r="B471" s="17"/>
      <c r="C471" s="17"/>
      <c r="D471" s="19"/>
      <c r="E471" s="20"/>
      <c r="F471" s="20"/>
      <c r="G471" s="20"/>
      <c r="H471" s="20"/>
      <c r="I471" s="17"/>
      <c r="J471" s="21"/>
      <c r="K471" s="20"/>
      <c r="L471" s="17"/>
      <c r="M471" s="20"/>
      <c r="N471" s="20"/>
      <c r="O471" s="17"/>
      <c r="P471" s="22" t="str">
        <f aca="false">IF(C471="","",IF(AND(M471="Sim",N471=""),"Agarrada sem motivo declarado",IF(AND(H471="Sim",I471=""),"Traciona hoje sem próximo passo",IF(AND(O471&lt;&gt;"",O471&gt;=14),"Parada há 14 dias ou mais",IF(AND(M471="Sim",O471&lt;&gt;"",O471&gt;=7),"Agarrada há 7 dias, escalar",IF(AND(I471&lt;&gt;"",J471=""),"Próximo passo sem data",""))))))</f>
        <v/>
      </c>
    </row>
    <row r="472" customFormat="false" ht="15" hidden="false" customHeight="false" outlineLevel="0" collapsed="false">
      <c r="A472" s="21"/>
      <c r="B472" s="17"/>
      <c r="C472" s="17"/>
      <c r="D472" s="19"/>
      <c r="E472" s="20"/>
      <c r="F472" s="20"/>
      <c r="G472" s="20"/>
      <c r="H472" s="20"/>
      <c r="I472" s="17"/>
      <c r="J472" s="21"/>
      <c r="K472" s="20"/>
      <c r="L472" s="17"/>
      <c r="M472" s="20"/>
      <c r="N472" s="20"/>
      <c r="O472" s="17"/>
      <c r="P472" s="22" t="str">
        <f aca="false">IF(C472="","",IF(AND(M472="Sim",N472=""),"Agarrada sem motivo declarado",IF(AND(H472="Sim",I472=""),"Traciona hoje sem próximo passo",IF(AND(O472&lt;&gt;"",O472&gt;=14),"Parada há 14 dias ou mais",IF(AND(M472="Sim",O472&lt;&gt;"",O472&gt;=7),"Agarrada há 7 dias, escalar",IF(AND(I472&lt;&gt;"",J472=""),"Próximo passo sem data",""))))))</f>
        <v/>
      </c>
    </row>
    <row r="473" customFormat="false" ht="15" hidden="false" customHeight="false" outlineLevel="0" collapsed="false">
      <c r="A473" s="21"/>
      <c r="B473" s="17"/>
      <c r="C473" s="17"/>
      <c r="D473" s="19"/>
      <c r="E473" s="20"/>
      <c r="F473" s="20"/>
      <c r="G473" s="20"/>
      <c r="H473" s="20"/>
      <c r="I473" s="17"/>
      <c r="J473" s="21"/>
      <c r="K473" s="20"/>
      <c r="L473" s="17"/>
      <c r="M473" s="20"/>
      <c r="N473" s="20"/>
      <c r="O473" s="17"/>
      <c r="P473" s="22" t="str">
        <f aca="false">IF(C473="","",IF(AND(M473="Sim",N473=""),"Agarrada sem motivo declarado",IF(AND(H473="Sim",I473=""),"Traciona hoje sem próximo passo",IF(AND(O473&lt;&gt;"",O473&gt;=14),"Parada há 14 dias ou mais",IF(AND(M473="Sim",O473&lt;&gt;"",O473&gt;=7),"Agarrada há 7 dias, escalar",IF(AND(I473&lt;&gt;"",J473=""),"Próximo passo sem data",""))))))</f>
        <v/>
      </c>
    </row>
    <row r="474" customFormat="false" ht="15" hidden="false" customHeight="false" outlineLevel="0" collapsed="false">
      <c r="A474" s="21"/>
      <c r="B474" s="17"/>
      <c r="C474" s="17"/>
      <c r="D474" s="19"/>
      <c r="E474" s="20"/>
      <c r="F474" s="20"/>
      <c r="G474" s="20"/>
      <c r="H474" s="20"/>
      <c r="I474" s="17"/>
      <c r="J474" s="21"/>
      <c r="K474" s="20"/>
      <c r="L474" s="17"/>
      <c r="M474" s="20"/>
      <c r="N474" s="20"/>
      <c r="O474" s="17"/>
      <c r="P474" s="22" t="str">
        <f aca="false">IF(C474="","",IF(AND(M474="Sim",N474=""),"Agarrada sem motivo declarado",IF(AND(H474="Sim",I474=""),"Traciona hoje sem próximo passo",IF(AND(O474&lt;&gt;"",O474&gt;=14),"Parada há 14 dias ou mais",IF(AND(M474="Sim",O474&lt;&gt;"",O474&gt;=7),"Agarrada há 7 dias, escalar",IF(AND(I474&lt;&gt;"",J474=""),"Próximo passo sem data",""))))))</f>
        <v/>
      </c>
    </row>
    <row r="475" customFormat="false" ht="15" hidden="false" customHeight="false" outlineLevel="0" collapsed="false">
      <c r="A475" s="21"/>
      <c r="B475" s="17"/>
      <c r="C475" s="17"/>
      <c r="D475" s="19"/>
      <c r="E475" s="20"/>
      <c r="F475" s="20"/>
      <c r="G475" s="20"/>
      <c r="H475" s="20"/>
      <c r="I475" s="17"/>
      <c r="J475" s="21"/>
      <c r="K475" s="20"/>
      <c r="L475" s="17"/>
      <c r="M475" s="20"/>
      <c r="N475" s="20"/>
      <c r="O475" s="17"/>
      <c r="P475" s="22" t="str">
        <f aca="false">IF(C475="","",IF(AND(M475="Sim",N475=""),"Agarrada sem motivo declarado",IF(AND(H475="Sim",I475=""),"Traciona hoje sem próximo passo",IF(AND(O475&lt;&gt;"",O475&gt;=14),"Parada há 14 dias ou mais",IF(AND(M475="Sim",O475&lt;&gt;"",O475&gt;=7),"Agarrada há 7 dias, escalar",IF(AND(I475&lt;&gt;"",J475=""),"Próximo passo sem data",""))))))</f>
        <v/>
      </c>
    </row>
    <row r="476" customFormat="false" ht="15" hidden="false" customHeight="false" outlineLevel="0" collapsed="false">
      <c r="A476" s="21"/>
      <c r="B476" s="17"/>
      <c r="C476" s="17"/>
      <c r="D476" s="19"/>
      <c r="E476" s="20"/>
      <c r="F476" s="20"/>
      <c r="G476" s="20"/>
      <c r="H476" s="20"/>
      <c r="I476" s="17"/>
      <c r="J476" s="21"/>
      <c r="K476" s="20"/>
      <c r="L476" s="17"/>
      <c r="M476" s="20"/>
      <c r="N476" s="20"/>
      <c r="O476" s="17"/>
      <c r="P476" s="22" t="str">
        <f aca="false">IF(C476="","",IF(AND(M476="Sim",N476=""),"Agarrada sem motivo declarado",IF(AND(H476="Sim",I476=""),"Traciona hoje sem próximo passo",IF(AND(O476&lt;&gt;"",O476&gt;=14),"Parada há 14 dias ou mais",IF(AND(M476="Sim",O476&lt;&gt;"",O476&gt;=7),"Agarrada há 7 dias, escalar",IF(AND(I476&lt;&gt;"",J476=""),"Próximo passo sem data",""))))))</f>
        <v/>
      </c>
    </row>
    <row r="477" customFormat="false" ht="15" hidden="false" customHeight="false" outlineLevel="0" collapsed="false">
      <c r="A477" s="21"/>
      <c r="B477" s="17"/>
      <c r="C477" s="17"/>
      <c r="D477" s="19"/>
      <c r="E477" s="20"/>
      <c r="F477" s="20"/>
      <c r="G477" s="20"/>
      <c r="H477" s="20"/>
      <c r="I477" s="17"/>
      <c r="J477" s="21"/>
      <c r="K477" s="20"/>
      <c r="L477" s="17"/>
      <c r="M477" s="20"/>
      <c r="N477" s="20"/>
      <c r="O477" s="17"/>
      <c r="P477" s="22" t="str">
        <f aca="false">IF(C477="","",IF(AND(M477="Sim",N477=""),"Agarrada sem motivo declarado",IF(AND(H477="Sim",I477=""),"Traciona hoje sem próximo passo",IF(AND(O477&lt;&gt;"",O477&gt;=14),"Parada há 14 dias ou mais",IF(AND(M477="Sim",O477&lt;&gt;"",O477&gt;=7),"Agarrada há 7 dias, escalar",IF(AND(I477&lt;&gt;"",J477=""),"Próximo passo sem data",""))))))</f>
        <v/>
      </c>
    </row>
    <row r="478" customFormat="false" ht="15" hidden="false" customHeight="false" outlineLevel="0" collapsed="false">
      <c r="A478" s="21"/>
      <c r="B478" s="17"/>
      <c r="C478" s="17"/>
      <c r="D478" s="19"/>
      <c r="E478" s="20"/>
      <c r="F478" s="20"/>
      <c r="G478" s="20"/>
      <c r="H478" s="20"/>
      <c r="I478" s="17"/>
      <c r="J478" s="21"/>
      <c r="K478" s="20"/>
      <c r="L478" s="17"/>
      <c r="M478" s="20"/>
      <c r="N478" s="20"/>
      <c r="O478" s="17"/>
      <c r="P478" s="22" t="str">
        <f aca="false">IF(C478="","",IF(AND(M478="Sim",N478=""),"Agarrada sem motivo declarado",IF(AND(H478="Sim",I478=""),"Traciona hoje sem próximo passo",IF(AND(O478&lt;&gt;"",O478&gt;=14),"Parada há 14 dias ou mais",IF(AND(M478="Sim",O478&lt;&gt;"",O478&gt;=7),"Agarrada há 7 dias, escalar",IF(AND(I478&lt;&gt;"",J478=""),"Próximo passo sem data",""))))))</f>
        <v/>
      </c>
    </row>
    <row r="479" customFormat="false" ht="15" hidden="false" customHeight="false" outlineLevel="0" collapsed="false">
      <c r="A479" s="21"/>
      <c r="B479" s="17"/>
      <c r="C479" s="17"/>
      <c r="D479" s="19"/>
      <c r="E479" s="20"/>
      <c r="F479" s="20"/>
      <c r="G479" s="20"/>
      <c r="H479" s="20"/>
      <c r="I479" s="17"/>
      <c r="J479" s="21"/>
      <c r="K479" s="20"/>
      <c r="L479" s="17"/>
      <c r="M479" s="20"/>
      <c r="N479" s="20"/>
      <c r="O479" s="17"/>
      <c r="P479" s="22" t="str">
        <f aca="false">IF(C479="","",IF(AND(M479="Sim",N479=""),"Agarrada sem motivo declarado",IF(AND(H479="Sim",I479=""),"Traciona hoje sem próximo passo",IF(AND(O479&lt;&gt;"",O479&gt;=14),"Parada há 14 dias ou mais",IF(AND(M479="Sim",O479&lt;&gt;"",O479&gt;=7),"Agarrada há 7 dias, escalar",IF(AND(I479&lt;&gt;"",J479=""),"Próximo passo sem data",""))))))</f>
        <v/>
      </c>
    </row>
    <row r="480" customFormat="false" ht="15" hidden="false" customHeight="false" outlineLevel="0" collapsed="false">
      <c r="A480" s="21"/>
      <c r="B480" s="17"/>
      <c r="C480" s="17"/>
      <c r="D480" s="19"/>
      <c r="E480" s="20"/>
      <c r="F480" s="20"/>
      <c r="G480" s="20"/>
      <c r="H480" s="20"/>
      <c r="I480" s="17"/>
      <c r="J480" s="21"/>
      <c r="K480" s="20"/>
      <c r="L480" s="17"/>
      <c r="M480" s="20"/>
      <c r="N480" s="20"/>
      <c r="O480" s="17"/>
      <c r="P480" s="22" t="str">
        <f aca="false">IF(C480="","",IF(AND(M480="Sim",N480=""),"Agarrada sem motivo declarado",IF(AND(H480="Sim",I480=""),"Traciona hoje sem próximo passo",IF(AND(O480&lt;&gt;"",O480&gt;=14),"Parada há 14 dias ou mais",IF(AND(M480="Sim",O480&lt;&gt;"",O480&gt;=7),"Agarrada há 7 dias, escalar",IF(AND(I480&lt;&gt;"",J480=""),"Próximo passo sem data",""))))))</f>
        <v/>
      </c>
    </row>
    <row r="481" customFormat="false" ht="15" hidden="false" customHeight="false" outlineLevel="0" collapsed="false">
      <c r="A481" s="21"/>
      <c r="B481" s="17"/>
      <c r="C481" s="17"/>
      <c r="D481" s="19"/>
      <c r="E481" s="20"/>
      <c r="F481" s="20"/>
      <c r="G481" s="20"/>
      <c r="H481" s="20"/>
      <c r="I481" s="17"/>
      <c r="J481" s="21"/>
      <c r="K481" s="20"/>
      <c r="L481" s="17"/>
      <c r="M481" s="20"/>
      <c r="N481" s="20"/>
      <c r="O481" s="17"/>
      <c r="P481" s="22" t="str">
        <f aca="false">IF(C481="","",IF(AND(M481="Sim",N481=""),"Agarrada sem motivo declarado",IF(AND(H481="Sim",I481=""),"Traciona hoje sem próximo passo",IF(AND(O481&lt;&gt;"",O481&gt;=14),"Parada há 14 dias ou mais",IF(AND(M481="Sim",O481&lt;&gt;"",O481&gt;=7),"Agarrada há 7 dias, escalar",IF(AND(I481&lt;&gt;"",J481=""),"Próximo passo sem data",""))))))</f>
        <v/>
      </c>
    </row>
    <row r="482" customFormat="false" ht="15" hidden="false" customHeight="false" outlineLevel="0" collapsed="false">
      <c r="A482" s="21"/>
      <c r="B482" s="17"/>
      <c r="C482" s="17"/>
      <c r="D482" s="19"/>
      <c r="E482" s="20"/>
      <c r="F482" s="20"/>
      <c r="G482" s="20"/>
      <c r="H482" s="20"/>
      <c r="I482" s="17"/>
      <c r="J482" s="21"/>
      <c r="K482" s="20"/>
      <c r="L482" s="17"/>
      <c r="M482" s="20"/>
      <c r="N482" s="20"/>
      <c r="O482" s="17"/>
      <c r="P482" s="22" t="str">
        <f aca="false">IF(C482="","",IF(AND(M482="Sim",N482=""),"Agarrada sem motivo declarado",IF(AND(H482="Sim",I482=""),"Traciona hoje sem próximo passo",IF(AND(O482&lt;&gt;"",O482&gt;=14),"Parada há 14 dias ou mais",IF(AND(M482="Sim",O482&lt;&gt;"",O482&gt;=7),"Agarrada há 7 dias, escalar",IF(AND(I482&lt;&gt;"",J482=""),"Próximo passo sem data",""))))))</f>
        <v/>
      </c>
    </row>
    <row r="483" customFormat="false" ht="15" hidden="false" customHeight="false" outlineLevel="0" collapsed="false">
      <c r="A483" s="21"/>
      <c r="B483" s="17"/>
      <c r="C483" s="17"/>
      <c r="D483" s="19"/>
      <c r="E483" s="20"/>
      <c r="F483" s="20"/>
      <c r="G483" s="20"/>
      <c r="H483" s="20"/>
      <c r="I483" s="17"/>
      <c r="J483" s="21"/>
      <c r="K483" s="20"/>
      <c r="L483" s="17"/>
      <c r="M483" s="20"/>
      <c r="N483" s="20"/>
      <c r="O483" s="17"/>
      <c r="P483" s="22" t="str">
        <f aca="false">IF(C483="","",IF(AND(M483="Sim",N483=""),"Agarrada sem motivo declarado",IF(AND(H483="Sim",I483=""),"Traciona hoje sem próximo passo",IF(AND(O483&lt;&gt;"",O483&gt;=14),"Parada há 14 dias ou mais",IF(AND(M483="Sim",O483&lt;&gt;"",O483&gt;=7),"Agarrada há 7 dias, escalar",IF(AND(I483&lt;&gt;"",J483=""),"Próximo passo sem data",""))))))</f>
        <v/>
      </c>
    </row>
    <row r="484" customFormat="false" ht="15" hidden="false" customHeight="false" outlineLevel="0" collapsed="false">
      <c r="A484" s="21"/>
      <c r="B484" s="17"/>
      <c r="C484" s="17"/>
      <c r="D484" s="19"/>
      <c r="E484" s="20"/>
      <c r="F484" s="20"/>
      <c r="G484" s="20"/>
      <c r="H484" s="20"/>
      <c r="I484" s="17"/>
      <c r="J484" s="21"/>
      <c r="K484" s="20"/>
      <c r="L484" s="17"/>
      <c r="M484" s="20"/>
      <c r="N484" s="20"/>
      <c r="O484" s="17"/>
      <c r="P484" s="22" t="str">
        <f aca="false">IF(C484="","",IF(AND(M484="Sim",N484=""),"Agarrada sem motivo declarado",IF(AND(H484="Sim",I484=""),"Traciona hoje sem próximo passo",IF(AND(O484&lt;&gt;"",O484&gt;=14),"Parada há 14 dias ou mais",IF(AND(M484="Sim",O484&lt;&gt;"",O484&gt;=7),"Agarrada há 7 dias, escalar",IF(AND(I484&lt;&gt;"",J484=""),"Próximo passo sem data",""))))))</f>
        <v/>
      </c>
    </row>
    <row r="485" customFormat="false" ht="15" hidden="false" customHeight="false" outlineLevel="0" collapsed="false">
      <c r="A485" s="21"/>
      <c r="B485" s="17"/>
      <c r="C485" s="17"/>
      <c r="D485" s="19"/>
      <c r="E485" s="20"/>
      <c r="F485" s="20"/>
      <c r="G485" s="20"/>
      <c r="H485" s="20"/>
      <c r="I485" s="17"/>
      <c r="J485" s="21"/>
      <c r="K485" s="20"/>
      <c r="L485" s="17"/>
      <c r="M485" s="20"/>
      <c r="N485" s="20"/>
      <c r="O485" s="17"/>
      <c r="P485" s="22" t="str">
        <f aca="false">IF(C485="","",IF(AND(M485="Sim",N485=""),"Agarrada sem motivo declarado",IF(AND(H485="Sim",I485=""),"Traciona hoje sem próximo passo",IF(AND(O485&lt;&gt;"",O485&gt;=14),"Parada há 14 dias ou mais",IF(AND(M485="Sim",O485&lt;&gt;"",O485&gt;=7),"Agarrada há 7 dias, escalar",IF(AND(I485&lt;&gt;"",J485=""),"Próximo passo sem data",""))))))</f>
        <v/>
      </c>
    </row>
    <row r="486" customFormat="false" ht="15" hidden="false" customHeight="false" outlineLevel="0" collapsed="false">
      <c r="A486" s="21"/>
      <c r="B486" s="17"/>
      <c r="C486" s="17"/>
      <c r="D486" s="19"/>
      <c r="E486" s="20"/>
      <c r="F486" s="20"/>
      <c r="G486" s="20"/>
      <c r="H486" s="20"/>
      <c r="I486" s="17"/>
      <c r="J486" s="21"/>
      <c r="K486" s="20"/>
      <c r="L486" s="17"/>
      <c r="M486" s="20"/>
      <c r="N486" s="20"/>
      <c r="O486" s="17"/>
      <c r="P486" s="22" t="str">
        <f aca="false">IF(C486="","",IF(AND(M486="Sim",N486=""),"Agarrada sem motivo declarado",IF(AND(H486="Sim",I486=""),"Traciona hoje sem próximo passo",IF(AND(O486&lt;&gt;"",O486&gt;=14),"Parada há 14 dias ou mais",IF(AND(M486="Sim",O486&lt;&gt;"",O486&gt;=7),"Agarrada há 7 dias, escalar",IF(AND(I486&lt;&gt;"",J486=""),"Próximo passo sem data",""))))))</f>
        <v/>
      </c>
    </row>
    <row r="487" customFormat="false" ht="15" hidden="false" customHeight="false" outlineLevel="0" collapsed="false">
      <c r="A487" s="21"/>
      <c r="B487" s="17"/>
      <c r="C487" s="17"/>
      <c r="D487" s="19"/>
      <c r="E487" s="20"/>
      <c r="F487" s="20"/>
      <c r="G487" s="20"/>
      <c r="H487" s="20"/>
      <c r="I487" s="17"/>
      <c r="J487" s="21"/>
      <c r="K487" s="20"/>
      <c r="L487" s="17"/>
      <c r="M487" s="20"/>
      <c r="N487" s="20"/>
      <c r="O487" s="17"/>
      <c r="P487" s="22" t="str">
        <f aca="false">IF(C487="","",IF(AND(M487="Sim",N487=""),"Agarrada sem motivo declarado",IF(AND(H487="Sim",I487=""),"Traciona hoje sem próximo passo",IF(AND(O487&lt;&gt;"",O487&gt;=14),"Parada há 14 dias ou mais",IF(AND(M487="Sim",O487&lt;&gt;"",O487&gt;=7),"Agarrada há 7 dias, escalar",IF(AND(I487&lt;&gt;"",J487=""),"Próximo passo sem data",""))))))</f>
        <v/>
      </c>
    </row>
    <row r="488" customFormat="false" ht="15" hidden="false" customHeight="false" outlineLevel="0" collapsed="false">
      <c r="A488" s="21"/>
      <c r="B488" s="17"/>
      <c r="C488" s="17"/>
      <c r="D488" s="19"/>
      <c r="E488" s="20"/>
      <c r="F488" s="20"/>
      <c r="G488" s="20"/>
      <c r="H488" s="20"/>
      <c r="I488" s="17"/>
      <c r="J488" s="21"/>
      <c r="K488" s="20"/>
      <c r="L488" s="17"/>
      <c r="M488" s="20"/>
      <c r="N488" s="20"/>
      <c r="O488" s="17"/>
      <c r="P488" s="22" t="str">
        <f aca="false">IF(C488="","",IF(AND(M488="Sim",N488=""),"Agarrada sem motivo declarado",IF(AND(H488="Sim",I488=""),"Traciona hoje sem próximo passo",IF(AND(O488&lt;&gt;"",O488&gt;=14),"Parada há 14 dias ou mais",IF(AND(M488="Sim",O488&lt;&gt;"",O488&gt;=7),"Agarrada há 7 dias, escalar",IF(AND(I488&lt;&gt;"",J488=""),"Próximo passo sem data",""))))))</f>
        <v/>
      </c>
    </row>
    <row r="489" customFormat="false" ht="15" hidden="false" customHeight="false" outlineLevel="0" collapsed="false">
      <c r="A489" s="21"/>
      <c r="B489" s="17"/>
      <c r="C489" s="17"/>
      <c r="D489" s="19"/>
      <c r="E489" s="20"/>
      <c r="F489" s="20"/>
      <c r="G489" s="20"/>
      <c r="H489" s="20"/>
      <c r="I489" s="17"/>
      <c r="J489" s="21"/>
      <c r="K489" s="20"/>
      <c r="L489" s="17"/>
      <c r="M489" s="20"/>
      <c r="N489" s="20"/>
      <c r="O489" s="17"/>
      <c r="P489" s="22" t="str">
        <f aca="false">IF(C489="","",IF(AND(M489="Sim",N489=""),"Agarrada sem motivo declarado",IF(AND(H489="Sim",I489=""),"Traciona hoje sem próximo passo",IF(AND(O489&lt;&gt;"",O489&gt;=14),"Parada há 14 dias ou mais",IF(AND(M489="Sim",O489&lt;&gt;"",O489&gt;=7),"Agarrada há 7 dias, escalar",IF(AND(I489&lt;&gt;"",J489=""),"Próximo passo sem data",""))))))</f>
        <v/>
      </c>
    </row>
    <row r="490" customFormat="false" ht="15" hidden="false" customHeight="false" outlineLevel="0" collapsed="false">
      <c r="A490" s="21"/>
      <c r="B490" s="17"/>
      <c r="C490" s="17"/>
      <c r="D490" s="19"/>
      <c r="E490" s="20"/>
      <c r="F490" s="20"/>
      <c r="G490" s="20"/>
      <c r="H490" s="20"/>
      <c r="I490" s="17"/>
      <c r="J490" s="21"/>
      <c r="K490" s="20"/>
      <c r="L490" s="17"/>
      <c r="M490" s="20"/>
      <c r="N490" s="20"/>
      <c r="O490" s="17"/>
      <c r="P490" s="22" t="str">
        <f aca="false">IF(C490="","",IF(AND(M490="Sim",N490=""),"Agarrada sem motivo declarado",IF(AND(H490="Sim",I490=""),"Traciona hoje sem próximo passo",IF(AND(O490&lt;&gt;"",O490&gt;=14),"Parada há 14 dias ou mais",IF(AND(M490="Sim",O490&lt;&gt;"",O490&gt;=7),"Agarrada há 7 dias, escalar",IF(AND(I490&lt;&gt;"",J490=""),"Próximo passo sem data",""))))))</f>
        <v/>
      </c>
    </row>
    <row r="491" customFormat="false" ht="15" hidden="false" customHeight="false" outlineLevel="0" collapsed="false">
      <c r="A491" s="21"/>
      <c r="B491" s="17"/>
      <c r="C491" s="17"/>
      <c r="D491" s="19"/>
      <c r="E491" s="20"/>
      <c r="F491" s="20"/>
      <c r="G491" s="20"/>
      <c r="H491" s="20"/>
      <c r="I491" s="17"/>
      <c r="J491" s="21"/>
      <c r="K491" s="20"/>
      <c r="L491" s="17"/>
      <c r="M491" s="20"/>
      <c r="N491" s="20"/>
      <c r="O491" s="17"/>
      <c r="P491" s="22" t="str">
        <f aca="false">IF(C491="","",IF(AND(M491="Sim",N491=""),"Agarrada sem motivo declarado",IF(AND(H491="Sim",I491=""),"Traciona hoje sem próximo passo",IF(AND(O491&lt;&gt;"",O491&gt;=14),"Parada há 14 dias ou mais",IF(AND(M491="Sim",O491&lt;&gt;"",O491&gt;=7),"Agarrada há 7 dias, escalar",IF(AND(I491&lt;&gt;"",J491=""),"Próximo passo sem data",""))))))</f>
        <v/>
      </c>
    </row>
    <row r="492" customFormat="false" ht="15" hidden="false" customHeight="false" outlineLevel="0" collapsed="false">
      <c r="A492" s="21"/>
      <c r="B492" s="17"/>
      <c r="C492" s="17"/>
      <c r="D492" s="19"/>
      <c r="E492" s="20"/>
      <c r="F492" s="20"/>
      <c r="G492" s="20"/>
      <c r="H492" s="20"/>
      <c r="I492" s="17"/>
      <c r="J492" s="21"/>
      <c r="K492" s="20"/>
      <c r="L492" s="17"/>
      <c r="M492" s="20"/>
      <c r="N492" s="20"/>
      <c r="O492" s="17"/>
      <c r="P492" s="22" t="str">
        <f aca="false">IF(C492="","",IF(AND(M492="Sim",N492=""),"Agarrada sem motivo declarado",IF(AND(H492="Sim",I492=""),"Traciona hoje sem próximo passo",IF(AND(O492&lt;&gt;"",O492&gt;=14),"Parada há 14 dias ou mais",IF(AND(M492="Sim",O492&lt;&gt;"",O492&gt;=7),"Agarrada há 7 dias, escalar",IF(AND(I492&lt;&gt;"",J492=""),"Próximo passo sem data",""))))))</f>
        <v/>
      </c>
    </row>
    <row r="493" customFormat="false" ht="15" hidden="false" customHeight="false" outlineLevel="0" collapsed="false">
      <c r="A493" s="21"/>
      <c r="B493" s="17"/>
      <c r="C493" s="17"/>
      <c r="D493" s="19"/>
      <c r="E493" s="20"/>
      <c r="F493" s="20"/>
      <c r="G493" s="20"/>
      <c r="H493" s="20"/>
      <c r="I493" s="17"/>
      <c r="J493" s="21"/>
      <c r="K493" s="20"/>
      <c r="L493" s="17"/>
      <c r="M493" s="20"/>
      <c r="N493" s="20"/>
      <c r="O493" s="17"/>
      <c r="P493" s="22" t="str">
        <f aca="false">IF(C493="","",IF(AND(M493="Sim",N493=""),"Agarrada sem motivo declarado",IF(AND(H493="Sim",I493=""),"Traciona hoje sem próximo passo",IF(AND(O493&lt;&gt;"",O493&gt;=14),"Parada há 14 dias ou mais",IF(AND(M493="Sim",O493&lt;&gt;"",O493&gt;=7),"Agarrada há 7 dias, escalar",IF(AND(I493&lt;&gt;"",J493=""),"Próximo passo sem data",""))))))</f>
        <v/>
      </c>
    </row>
    <row r="494" customFormat="false" ht="15" hidden="false" customHeight="false" outlineLevel="0" collapsed="false">
      <c r="A494" s="21"/>
      <c r="B494" s="17"/>
      <c r="C494" s="17"/>
      <c r="D494" s="19"/>
      <c r="E494" s="20"/>
      <c r="F494" s="20"/>
      <c r="G494" s="20"/>
      <c r="H494" s="20"/>
      <c r="I494" s="17"/>
      <c r="J494" s="21"/>
      <c r="K494" s="20"/>
      <c r="L494" s="17"/>
      <c r="M494" s="20"/>
      <c r="N494" s="20"/>
      <c r="O494" s="17"/>
      <c r="P494" s="22" t="str">
        <f aca="false">IF(C494="","",IF(AND(M494="Sim",N494=""),"Agarrada sem motivo declarado",IF(AND(H494="Sim",I494=""),"Traciona hoje sem próximo passo",IF(AND(O494&lt;&gt;"",O494&gt;=14),"Parada há 14 dias ou mais",IF(AND(M494="Sim",O494&lt;&gt;"",O494&gt;=7),"Agarrada há 7 dias, escalar",IF(AND(I494&lt;&gt;"",J494=""),"Próximo passo sem data",""))))))</f>
        <v/>
      </c>
    </row>
    <row r="495" customFormat="false" ht="15" hidden="false" customHeight="false" outlineLevel="0" collapsed="false">
      <c r="A495" s="21"/>
      <c r="B495" s="17"/>
      <c r="C495" s="17"/>
      <c r="D495" s="19"/>
      <c r="E495" s="20"/>
      <c r="F495" s="20"/>
      <c r="G495" s="20"/>
      <c r="H495" s="20"/>
      <c r="I495" s="17"/>
      <c r="J495" s="21"/>
      <c r="K495" s="20"/>
      <c r="L495" s="17"/>
      <c r="M495" s="20"/>
      <c r="N495" s="20"/>
      <c r="O495" s="17"/>
      <c r="P495" s="22" t="str">
        <f aca="false">IF(C495="","",IF(AND(M495="Sim",N495=""),"Agarrada sem motivo declarado",IF(AND(H495="Sim",I495=""),"Traciona hoje sem próximo passo",IF(AND(O495&lt;&gt;"",O495&gt;=14),"Parada há 14 dias ou mais",IF(AND(M495="Sim",O495&lt;&gt;"",O495&gt;=7),"Agarrada há 7 dias, escalar",IF(AND(I495&lt;&gt;"",J495=""),"Próximo passo sem data",""))))))</f>
        <v/>
      </c>
    </row>
    <row r="496" customFormat="false" ht="15" hidden="false" customHeight="false" outlineLevel="0" collapsed="false">
      <c r="A496" s="21"/>
      <c r="B496" s="17"/>
      <c r="C496" s="17"/>
      <c r="D496" s="19"/>
      <c r="E496" s="20"/>
      <c r="F496" s="20"/>
      <c r="G496" s="20"/>
      <c r="H496" s="20"/>
      <c r="I496" s="17"/>
      <c r="J496" s="21"/>
      <c r="K496" s="20"/>
      <c r="L496" s="17"/>
      <c r="M496" s="20"/>
      <c r="N496" s="20"/>
      <c r="O496" s="17"/>
      <c r="P496" s="22" t="str">
        <f aca="false">IF(C496="","",IF(AND(M496="Sim",N496=""),"Agarrada sem motivo declarado",IF(AND(H496="Sim",I496=""),"Traciona hoje sem próximo passo",IF(AND(O496&lt;&gt;"",O496&gt;=14),"Parada há 14 dias ou mais",IF(AND(M496="Sim",O496&lt;&gt;"",O496&gt;=7),"Agarrada há 7 dias, escalar",IF(AND(I496&lt;&gt;"",J496=""),"Próximo passo sem data",""))))))</f>
        <v/>
      </c>
    </row>
    <row r="497" customFormat="false" ht="15" hidden="false" customHeight="false" outlineLevel="0" collapsed="false">
      <c r="A497" s="21"/>
      <c r="B497" s="17"/>
      <c r="C497" s="17"/>
      <c r="D497" s="19"/>
      <c r="E497" s="20"/>
      <c r="F497" s="20"/>
      <c r="G497" s="20"/>
      <c r="H497" s="20"/>
      <c r="I497" s="17"/>
      <c r="J497" s="21"/>
      <c r="K497" s="20"/>
      <c r="L497" s="17"/>
      <c r="M497" s="20"/>
      <c r="N497" s="20"/>
      <c r="O497" s="17"/>
      <c r="P497" s="22" t="str">
        <f aca="false">IF(C497="","",IF(AND(M497="Sim",N497=""),"Agarrada sem motivo declarado",IF(AND(H497="Sim",I497=""),"Traciona hoje sem próximo passo",IF(AND(O497&lt;&gt;"",O497&gt;=14),"Parada há 14 dias ou mais",IF(AND(M497="Sim",O497&lt;&gt;"",O497&gt;=7),"Agarrada há 7 dias, escalar",IF(AND(I497&lt;&gt;"",J497=""),"Próximo passo sem data",""))))))</f>
        <v/>
      </c>
    </row>
    <row r="498" customFormat="false" ht="15" hidden="false" customHeight="false" outlineLevel="0" collapsed="false">
      <c r="A498" s="21"/>
      <c r="B498" s="17"/>
      <c r="C498" s="17"/>
      <c r="D498" s="19"/>
      <c r="E498" s="20"/>
      <c r="F498" s="20"/>
      <c r="G498" s="20"/>
      <c r="H498" s="20"/>
      <c r="I498" s="17"/>
      <c r="J498" s="21"/>
      <c r="K498" s="20"/>
      <c r="L498" s="17"/>
      <c r="M498" s="20"/>
      <c r="N498" s="20"/>
      <c r="O498" s="17"/>
      <c r="P498" s="22" t="str">
        <f aca="false">IF(C498="","",IF(AND(M498="Sim",N498=""),"Agarrada sem motivo declarado",IF(AND(H498="Sim",I498=""),"Traciona hoje sem próximo passo",IF(AND(O498&lt;&gt;"",O498&gt;=14),"Parada há 14 dias ou mais",IF(AND(M498="Sim",O498&lt;&gt;"",O498&gt;=7),"Agarrada há 7 dias, escalar",IF(AND(I498&lt;&gt;"",J498=""),"Próximo passo sem data",""))))))</f>
        <v/>
      </c>
    </row>
    <row r="499" customFormat="false" ht="15" hidden="false" customHeight="false" outlineLevel="0" collapsed="false">
      <c r="A499" s="21"/>
      <c r="B499" s="17"/>
      <c r="C499" s="17"/>
      <c r="D499" s="19"/>
      <c r="E499" s="20"/>
      <c r="F499" s="20"/>
      <c r="G499" s="20"/>
      <c r="H499" s="20"/>
      <c r="I499" s="17"/>
      <c r="J499" s="21"/>
      <c r="K499" s="20"/>
      <c r="L499" s="17"/>
      <c r="M499" s="20"/>
      <c r="N499" s="20"/>
      <c r="O499" s="17"/>
      <c r="P499" s="22" t="str">
        <f aca="false">IF(C499="","",IF(AND(M499="Sim",N499=""),"Agarrada sem motivo declarado",IF(AND(H499="Sim",I499=""),"Traciona hoje sem próximo passo",IF(AND(O499&lt;&gt;"",O499&gt;=14),"Parada há 14 dias ou mais",IF(AND(M499="Sim",O499&lt;&gt;"",O499&gt;=7),"Agarrada há 7 dias, escalar",IF(AND(I499&lt;&gt;"",J499=""),"Próximo passo sem data",""))))))</f>
        <v/>
      </c>
    </row>
    <row r="500" customFormat="false" ht="15" hidden="false" customHeight="false" outlineLevel="0" collapsed="false">
      <c r="A500" s="21"/>
      <c r="B500" s="17"/>
      <c r="C500" s="17"/>
      <c r="D500" s="19"/>
      <c r="E500" s="20"/>
      <c r="F500" s="20"/>
      <c r="G500" s="20"/>
      <c r="H500" s="20"/>
      <c r="I500" s="17"/>
      <c r="J500" s="21"/>
      <c r="K500" s="20"/>
      <c r="L500" s="17"/>
      <c r="M500" s="20"/>
      <c r="N500" s="20"/>
      <c r="O500" s="17"/>
      <c r="P500" s="22" t="str">
        <f aca="false">IF(C500="","",IF(AND(M500="Sim",N500=""),"Agarrada sem motivo declarado",IF(AND(H500="Sim",I500=""),"Traciona hoje sem próximo passo",IF(AND(O500&lt;&gt;"",O500&gt;=14),"Parada há 14 dias ou mais",IF(AND(M500="Sim",O500&lt;&gt;"",O500&gt;=7),"Agarrada há 7 dias, escalar",IF(AND(I500&lt;&gt;"",J500=""),"Próximo passo sem data",""))))))</f>
        <v/>
      </c>
    </row>
    <row r="501" customFormat="false" ht="15" hidden="false" customHeight="false" outlineLevel="0" collapsed="false">
      <c r="A501" s="21"/>
      <c r="B501" s="17"/>
      <c r="C501" s="17"/>
      <c r="D501" s="19"/>
      <c r="E501" s="20"/>
      <c r="F501" s="20"/>
      <c r="G501" s="20"/>
      <c r="H501" s="20"/>
      <c r="I501" s="17"/>
      <c r="J501" s="21"/>
      <c r="K501" s="20"/>
      <c r="L501" s="17"/>
      <c r="M501" s="20"/>
      <c r="N501" s="20"/>
      <c r="O501" s="17"/>
      <c r="P501" s="22" t="str">
        <f aca="false">IF(C501="","",IF(AND(M501="Sim",N501=""),"Agarrada sem motivo declarado",IF(AND(H501="Sim",I501=""),"Traciona hoje sem próximo passo",IF(AND(O501&lt;&gt;"",O501&gt;=14),"Parada há 14 dias ou mais",IF(AND(M501="Sim",O501&lt;&gt;"",O501&gt;=7),"Agarrada há 7 dias, escalar",IF(AND(I501&lt;&gt;"",J501=""),"Próximo passo sem data",""))))))</f>
        <v/>
      </c>
    </row>
    <row r="502" customFormat="false" ht="15" hidden="false" customHeight="false" outlineLevel="0" collapsed="false">
      <c r="A502" s="21"/>
      <c r="B502" s="17"/>
      <c r="C502" s="17"/>
      <c r="D502" s="19"/>
      <c r="E502" s="20"/>
      <c r="F502" s="20"/>
      <c r="G502" s="20"/>
      <c r="H502" s="20"/>
      <c r="I502" s="17"/>
      <c r="J502" s="21"/>
      <c r="K502" s="20"/>
      <c r="L502" s="17"/>
      <c r="M502" s="20"/>
      <c r="N502" s="20"/>
      <c r="O502" s="17"/>
      <c r="P502" s="22" t="str">
        <f aca="false">IF(C502="","",IF(AND(M502="Sim",N502=""),"Agarrada sem motivo declarado",IF(AND(H502="Sim",I502=""),"Traciona hoje sem próximo passo",IF(AND(O502&lt;&gt;"",O502&gt;=14),"Parada há 14 dias ou mais",IF(AND(M502="Sim",O502&lt;&gt;"",O502&gt;=7),"Agarrada há 7 dias, escalar",IF(AND(I502&lt;&gt;"",J502=""),"Próximo passo sem data",""))))))</f>
        <v/>
      </c>
    </row>
    <row r="503" customFormat="false" ht="15" hidden="false" customHeight="false" outlineLevel="0" collapsed="false">
      <c r="A503" s="21"/>
      <c r="B503" s="17"/>
      <c r="C503" s="17"/>
      <c r="D503" s="19"/>
      <c r="E503" s="20"/>
      <c r="F503" s="20"/>
      <c r="G503" s="20"/>
      <c r="H503" s="20"/>
      <c r="I503" s="17"/>
      <c r="J503" s="21"/>
      <c r="K503" s="20"/>
      <c r="L503" s="17"/>
      <c r="M503" s="20"/>
      <c r="N503" s="20"/>
      <c r="O503" s="17"/>
      <c r="P503" s="22" t="str">
        <f aca="false">IF(C503="","",IF(AND(M503="Sim",N503=""),"Agarrada sem motivo declarado",IF(AND(H503="Sim",I503=""),"Traciona hoje sem próximo passo",IF(AND(O503&lt;&gt;"",O503&gt;=14),"Parada há 14 dias ou mais",IF(AND(M503="Sim",O503&lt;&gt;"",O503&gt;=7),"Agarrada há 7 dias, escalar",IF(AND(I503&lt;&gt;"",J503=""),"Próximo passo sem data",""))))))</f>
        <v/>
      </c>
    </row>
    <row r="504" customFormat="false" ht="15" hidden="false" customHeight="false" outlineLevel="0" collapsed="false">
      <c r="A504" s="21"/>
      <c r="B504" s="17"/>
      <c r="C504" s="17"/>
      <c r="D504" s="19"/>
      <c r="E504" s="20"/>
      <c r="F504" s="20"/>
      <c r="G504" s="20"/>
      <c r="H504" s="20"/>
      <c r="I504" s="17"/>
      <c r="J504" s="21"/>
      <c r="K504" s="20"/>
      <c r="L504" s="17"/>
      <c r="M504" s="20"/>
      <c r="N504" s="20"/>
      <c r="O504" s="17"/>
      <c r="P504" s="22" t="str">
        <f aca="false">IF(C504="","",IF(AND(M504="Sim",N504=""),"Agarrada sem motivo declarado",IF(AND(H504="Sim",I504=""),"Traciona hoje sem próximo passo",IF(AND(O504&lt;&gt;"",O504&gt;=14),"Parada há 14 dias ou mais",IF(AND(M504="Sim",O504&lt;&gt;"",O504&gt;=7),"Agarrada há 7 dias, escalar",IF(AND(I504&lt;&gt;"",J504=""),"Próximo passo sem data",""))))))</f>
        <v/>
      </c>
    </row>
    <row r="505" customFormat="false" ht="15" hidden="false" customHeight="false" outlineLevel="0" collapsed="false">
      <c r="A505" s="21"/>
      <c r="B505" s="17"/>
      <c r="C505" s="17"/>
      <c r="D505" s="19"/>
      <c r="E505" s="20"/>
      <c r="F505" s="20"/>
      <c r="G505" s="20"/>
      <c r="H505" s="20"/>
      <c r="I505" s="17"/>
      <c r="J505" s="21"/>
      <c r="K505" s="20"/>
      <c r="L505" s="17"/>
      <c r="M505" s="20"/>
      <c r="N505" s="20"/>
      <c r="O505" s="17"/>
      <c r="P505" s="22" t="str">
        <f aca="false">IF(C505="","",IF(AND(M505="Sim",N505=""),"Agarrada sem motivo declarado",IF(AND(H505="Sim",I505=""),"Traciona hoje sem próximo passo",IF(AND(O505&lt;&gt;"",O505&gt;=14),"Parada há 14 dias ou mais",IF(AND(M505="Sim",O505&lt;&gt;"",O505&gt;=7),"Agarrada há 7 dias, escalar",IF(AND(I505&lt;&gt;"",J505=""),"Próximo passo sem data",""))))))</f>
        <v/>
      </c>
    </row>
    <row r="507" customFormat="false" ht="15" hidden="false" customHeight="false" outlineLevel="0" collapsed="false">
      <c r="A507" s="14" t="s">
        <v>60</v>
      </c>
    </row>
  </sheetData>
  <conditionalFormatting sqref="P6:P505">
    <cfRule type="cellIs" priority="2" operator="notEqual" aboveAverage="0" equalAverage="0" bottom="0" percent="0" rank="0" text="" dxfId="0">
      <formula>""</formula>
    </cfRule>
  </conditionalFormatting>
  <dataValidations count="3">
    <dataValidation allowBlank="true" errorStyle="stop" operator="between" showDropDown="false" showErrorMessage="false" showInputMessage="false" sqref="F6:F505 H6:H505 K6:K505 M6:M505" type="list">
      <formula1>Listas!$E$2:$E$3</formula1>
      <formula2>0</formula2>
    </dataValidation>
    <dataValidation allowBlank="true" errorStyle="stop" operator="between" showDropDown="false" showErrorMessage="false" showInputMessage="false" sqref="E6:E505 G6:G505" type="list">
      <formula1>Listas!$C$2:$C$7</formula1>
      <formula2>0</formula2>
    </dataValidation>
    <dataValidation allowBlank="true" errorStyle="stop" operator="between" showDropDown="false" showErrorMessage="false" showInputMessage="false" sqref="N6:N505" type="list">
      <formula1>Listas!$A$2:$A$9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4" min="3" style="0" width="16"/>
    <col collapsed="false" customWidth="true" hidden="false" outlineLevel="0" max="5" min="5" style="0" width="62"/>
  </cols>
  <sheetData>
    <row r="2" customFormat="false" ht="15" hidden="false" customHeight="false" outlineLevel="0" collapsed="false">
      <c r="B2" s="1" t="s">
        <v>61</v>
      </c>
    </row>
    <row r="3" customFormat="false" ht="22.05" hidden="false" customHeight="false" outlineLevel="0" collapsed="false">
      <c r="B3" s="2" t="s">
        <v>62</v>
      </c>
    </row>
    <row r="4" customFormat="false" ht="15" hidden="false" customHeight="false" outlineLevel="0" collapsed="false">
      <c r="B4" s="8" t="s">
        <v>63</v>
      </c>
    </row>
    <row r="6" customFormat="false" ht="15" hidden="false" customHeight="false" outlineLevel="0" collapsed="false">
      <c r="B6" s="1" t="s">
        <v>64</v>
      </c>
    </row>
    <row r="7" customFormat="false" ht="15" hidden="false" customHeight="false" outlineLevel="0" collapsed="false">
      <c r="B7" s="23" t="s">
        <v>65</v>
      </c>
      <c r="C7" s="24" t="n">
        <f aca="false">COUNTA(Daily!$C$6:$C$505)</f>
        <v>1</v>
      </c>
    </row>
    <row r="8" customFormat="false" ht="15" hidden="false" customHeight="false" outlineLevel="0" collapsed="false">
      <c r="B8" s="23" t="s">
        <v>66</v>
      </c>
      <c r="C8" s="25" t="n">
        <f aca="false">SUMIFS(Daily!$D$6:$D$505,Daily!$C$6:$C$505,"&lt;&gt;")</f>
        <v>48000</v>
      </c>
    </row>
    <row r="9" customFormat="false" ht="15" hidden="false" customHeight="false" outlineLevel="0" collapsed="false">
      <c r="B9" s="23" t="s">
        <v>67</v>
      </c>
      <c r="C9" s="24" t="n">
        <f aca="false">COUNTIF(Daily!$M$6:$M$505,"Sim")</f>
        <v>0</v>
      </c>
    </row>
    <row r="10" customFormat="false" ht="15" hidden="false" customHeight="false" outlineLevel="0" collapsed="false">
      <c r="B10" s="23" t="s">
        <v>68</v>
      </c>
      <c r="C10" s="26" t="n">
        <f aca="false">IFERROR(COUNTIF(Daily!$M$6:$M$505,"Sim")/COUNTA(Daily!$C$6:$C$505),0)</f>
        <v>0</v>
      </c>
    </row>
    <row r="11" customFormat="false" ht="15" hidden="false" customHeight="false" outlineLevel="0" collapsed="false">
      <c r="B11" s="23" t="s">
        <v>69</v>
      </c>
      <c r="C11" s="25" t="n">
        <f aca="false">SUMIFS(Daily!$D$6:$D$505,Daily!$M$6:$M$505,"Sim")</f>
        <v>0</v>
      </c>
    </row>
    <row r="12" customFormat="false" ht="15" hidden="false" customHeight="false" outlineLevel="0" collapsed="false">
      <c r="B12" s="23" t="s">
        <v>70</v>
      </c>
      <c r="C12" s="27" t="n">
        <f aca="false">IFERROR(AVERAGEIF(Daily!$M$6:$M$505,"Sim",Daily!$O$6:$O$505),0)</f>
        <v>0</v>
      </c>
    </row>
    <row r="13" customFormat="false" ht="15" hidden="false" customHeight="false" outlineLevel="0" collapsed="false">
      <c r="B13" s="23" t="s">
        <v>71</v>
      </c>
      <c r="C13" s="26" t="n">
        <f aca="false">IFERROR(COUNTIFS(Daily!$H$6:$H$505,"Sim",Daily!$I$6:$I$505,"&lt;&gt;")/COUNTIF(Daily!$H$6:$H$505,"Sim"),0)</f>
        <v>1</v>
      </c>
    </row>
    <row r="15" customFormat="false" ht="15" hidden="false" customHeight="false" outlineLevel="0" collapsed="false">
      <c r="B15" s="1" t="s">
        <v>72</v>
      </c>
    </row>
    <row r="16" customFormat="false" ht="15" hidden="false" customHeight="false" outlineLevel="0" collapsed="false">
      <c r="B16" s="28" t="s">
        <v>73</v>
      </c>
      <c r="C16" s="28" t="s">
        <v>74</v>
      </c>
      <c r="D16" s="28" t="s">
        <v>75</v>
      </c>
      <c r="E16" s="28" t="s">
        <v>76</v>
      </c>
    </row>
    <row r="17" customFormat="false" ht="30" hidden="false" customHeight="true" outlineLevel="0" collapsed="false">
      <c r="B17" s="17" t="s">
        <v>77</v>
      </c>
      <c r="C17" s="29" t="n">
        <f aca="false">COUNTIF(Daily!$N$6:$N$505,B17)</f>
        <v>0</v>
      </c>
      <c r="D17" s="30" t="n">
        <f aca="false">SUMIFS(Daily!$D$6:$D$505,Daily!$N$6:$N$505,B17)</f>
        <v>0</v>
      </c>
      <c r="E17" s="31" t="s">
        <v>78</v>
      </c>
    </row>
    <row r="18" customFormat="false" ht="30" hidden="false" customHeight="true" outlineLevel="0" collapsed="false">
      <c r="B18" s="17" t="s">
        <v>79</v>
      </c>
      <c r="C18" s="29" t="n">
        <f aca="false">COUNTIF(Daily!$N$6:$N$505,B18)</f>
        <v>0</v>
      </c>
      <c r="D18" s="30" t="n">
        <f aca="false">SUMIFS(Daily!$D$6:$D$505,Daily!$N$6:$N$505,B18)</f>
        <v>0</v>
      </c>
      <c r="E18" s="31" t="s">
        <v>80</v>
      </c>
    </row>
    <row r="19" customFormat="false" ht="30" hidden="false" customHeight="true" outlineLevel="0" collapsed="false">
      <c r="B19" s="17" t="s">
        <v>81</v>
      </c>
      <c r="C19" s="29" t="n">
        <f aca="false">COUNTIF(Daily!$N$6:$N$505,B19)</f>
        <v>0</v>
      </c>
      <c r="D19" s="30" t="n">
        <f aca="false">SUMIFS(Daily!$D$6:$D$505,Daily!$N$6:$N$505,B19)</f>
        <v>0</v>
      </c>
      <c r="E19" s="31" t="s">
        <v>82</v>
      </c>
    </row>
    <row r="20" customFormat="false" ht="30" hidden="false" customHeight="true" outlineLevel="0" collapsed="false">
      <c r="B20" s="17" t="s">
        <v>83</v>
      </c>
      <c r="C20" s="29" t="n">
        <f aca="false">COUNTIF(Daily!$N$6:$N$505,B20)</f>
        <v>0</v>
      </c>
      <c r="D20" s="30" t="n">
        <f aca="false">SUMIFS(Daily!$D$6:$D$505,Daily!$N$6:$N$505,B20)</f>
        <v>0</v>
      </c>
      <c r="E20" s="31" t="s">
        <v>84</v>
      </c>
    </row>
    <row r="21" customFormat="false" ht="30" hidden="false" customHeight="true" outlineLevel="0" collapsed="false">
      <c r="B21" s="17" t="s">
        <v>85</v>
      </c>
      <c r="C21" s="29" t="n">
        <f aca="false">COUNTIF(Daily!$N$6:$N$505,B21)</f>
        <v>0</v>
      </c>
      <c r="D21" s="30" t="n">
        <f aca="false">SUMIFS(Daily!$D$6:$D$505,Daily!$N$6:$N$505,B21)</f>
        <v>0</v>
      </c>
      <c r="E21" s="31" t="s">
        <v>86</v>
      </c>
    </row>
    <row r="22" customFormat="false" ht="30" hidden="false" customHeight="true" outlineLevel="0" collapsed="false">
      <c r="B22" s="17" t="s">
        <v>87</v>
      </c>
      <c r="C22" s="29" t="n">
        <f aca="false">COUNTIF(Daily!$N$6:$N$505,B22)</f>
        <v>0</v>
      </c>
      <c r="D22" s="30" t="n">
        <f aca="false">SUMIFS(Daily!$D$6:$D$505,Daily!$N$6:$N$505,B22)</f>
        <v>0</v>
      </c>
      <c r="E22" s="31" t="s">
        <v>88</v>
      </c>
    </row>
    <row r="23" customFormat="false" ht="30" hidden="false" customHeight="true" outlineLevel="0" collapsed="false">
      <c r="B23" s="17" t="s">
        <v>89</v>
      </c>
      <c r="C23" s="29" t="n">
        <f aca="false">COUNTIF(Daily!$N$6:$N$505,B23)</f>
        <v>0</v>
      </c>
      <c r="D23" s="30" t="n">
        <f aca="false">SUMIFS(Daily!$D$6:$D$505,Daily!$N$6:$N$505,B23)</f>
        <v>0</v>
      </c>
      <c r="E23" s="31" t="s">
        <v>90</v>
      </c>
    </row>
    <row r="24" customFormat="false" ht="30" hidden="false" customHeight="true" outlineLevel="0" collapsed="false">
      <c r="B24" s="17" t="s">
        <v>91</v>
      </c>
      <c r="C24" s="29" t="n">
        <f aca="false">COUNTIF(Daily!$N$6:$N$505,B24)</f>
        <v>0</v>
      </c>
      <c r="D24" s="30" t="n">
        <f aca="false">SUMIFS(Daily!$D$6:$D$505,Daily!$N$6:$N$505,B24)</f>
        <v>0</v>
      </c>
      <c r="E24" s="31" t="s">
        <v>92</v>
      </c>
    </row>
    <row r="25" customFormat="false" ht="15" hidden="false" customHeight="false" outlineLevel="0" collapsed="false">
      <c r="B25" s="32" t="s">
        <v>93</v>
      </c>
      <c r="C25" s="33" t="n">
        <f aca="false">SUM(C17:C24)</f>
        <v>0</v>
      </c>
      <c r="D25" s="34" t="n">
        <f aca="false">SUM(D17:D24)</f>
        <v>0</v>
      </c>
    </row>
    <row r="27" customFormat="false" ht="15" hidden="false" customHeight="false" outlineLevel="0" collapsed="false">
      <c r="B27" s="1" t="s">
        <v>94</v>
      </c>
    </row>
    <row r="28" customFormat="false" ht="15" hidden="false" customHeight="false" outlineLevel="0" collapsed="false">
      <c r="B28" s="35" t="str">
        <f aca="false">IF(SUM(C17:C24)=0,"Sem dados suficientes. Registre pelo menos duas semanas de daily.",INDEX(B17:B24,MATCH(MAX(C17:C24),C17:C24,0)))</f>
        <v>Sem dados suficientes. Registre pelo menos duas semanas de daily.</v>
      </c>
      <c r="C28" s="35"/>
      <c r="D28" s="35"/>
      <c r="E28" s="35"/>
    </row>
    <row r="29" customFormat="false" ht="15" hidden="false" customHeight="false" outlineLevel="0" collapsed="false">
      <c r="B29" s="36" t="str">
        <f aca="false">IF(SUM(C17:C24)=0,"","Representa "&amp;TEXT(MAX(C17:C24)/SUM(C17:C24),"0%")&amp;" dos travamentos declarados. Acima de 30% em quatro semanas, isto deixa de ser caso isolado e passa a ser gargalo de processo.")</f>
        <v/>
      </c>
      <c r="C29" s="36"/>
      <c r="D29" s="36"/>
      <c r="E29" s="36"/>
    </row>
    <row r="31" customFormat="false" ht="15" hidden="false" customHeight="false" outlineLevel="0" collapsed="false">
      <c r="B31" s="37" t="s">
        <v>95</v>
      </c>
      <c r="C31" s="37"/>
      <c r="D31" s="37"/>
      <c r="E31" s="37"/>
    </row>
    <row r="33" customFormat="false" ht="15" hidden="false" customHeight="false" outlineLevel="0" collapsed="false">
      <c r="B33" s="12" t="s">
        <v>33</v>
      </c>
    </row>
  </sheetData>
  <mergeCells count="3">
    <mergeCell ref="B28:E28"/>
    <mergeCell ref="B29:E29"/>
    <mergeCell ref="B31:E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3" style="0" width="28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38" t="s">
        <v>96</v>
      </c>
      <c r="C1" s="38" t="s">
        <v>97</v>
      </c>
      <c r="E1" s="38" t="s">
        <v>98</v>
      </c>
    </row>
    <row r="2" customFormat="false" ht="15" hidden="false" customHeight="false" outlineLevel="0" collapsed="false">
      <c r="A2" s="0" t="s">
        <v>77</v>
      </c>
      <c r="C2" s="0" t="s">
        <v>99</v>
      </c>
      <c r="E2" s="0" t="s">
        <v>55</v>
      </c>
    </row>
    <row r="3" customFormat="false" ht="15" hidden="false" customHeight="false" outlineLevel="0" collapsed="false">
      <c r="A3" s="0" t="s">
        <v>79</v>
      </c>
      <c r="C3" s="0" t="s">
        <v>100</v>
      </c>
      <c r="E3" s="0" t="s">
        <v>59</v>
      </c>
    </row>
    <row r="4" customFormat="false" ht="15" hidden="false" customHeight="false" outlineLevel="0" collapsed="false">
      <c r="A4" s="0" t="s">
        <v>81</v>
      </c>
      <c r="C4" s="0" t="s">
        <v>56</v>
      </c>
    </row>
    <row r="5" customFormat="false" ht="15" hidden="false" customHeight="false" outlineLevel="0" collapsed="false">
      <c r="A5" s="0" t="s">
        <v>83</v>
      </c>
      <c r="C5" s="0" t="s">
        <v>54</v>
      </c>
    </row>
    <row r="6" customFormat="false" ht="15" hidden="false" customHeight="false" outlineLevel="0" collapsed="false">
      <c r="A6" s="0" t="s">
        <v>85</v>
      </c>
      <c r="C6" s="0" t="s">
        <v>101</v>
      </c>
    </row>
    <row r="7" customFormat="false" ht="15" hidden="false" customHeight="false" outlineLevel="0" collapsed="false">
      <c r="A7" s="0" t="s">
        <v>87</v>
      </c>
      <c r="C7" s="0" t="s">
        <v>102</v>
      </c>
    </row>
    <row r="8" customFormat="false" ht="15" hidden="false" customHeight="false" outlineLevel="0" collapsed="false">
      <c r="A8" s="0" t="s">
        <v>89</v>
      </c>
    </row>
    <row r="9" customFormat="false" ht="15" hidden="false" customHeight="false" outlineLevel="0" collapsed="false">
      <c r="A9" s="0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2026-07-28T22:26:55Z</dcterms:created>
  <dc:creator>openpyxl</dc:creator>
  <dc:description/>
  <dc:language>en-US</dc:language>
  <cp:lastModifiedBy/>
  <dcterms:modified xsi:type="dcterms:W3CDTF">2026-07-28T22:26:56Z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